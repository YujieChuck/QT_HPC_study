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12015" yWindow="0" windowWidth="28695" windowHeight="13200"/>
  </bookViews>
  <sheets>
    <sheet name="BASEGUI" sheetId="10" r:id="rId1"/>
    <sheet name="AllNoChange" sheetId="9" r:id="rId2"/>
    <sheet name="FatigueAdvanceGui" sheetId="7" r:id="rId3"/>
  </sheets>
  <functionGroups builtInGroupCount="18"/>
  <definedNames>
    <definedName name="_xlnm._FilterDatabase" localSheetId="0" hidden="1">BASEGUI!$A$1:$Q$17</definedName>
  </definedNames>
  <calcPr calcId="152511"/>
</workbook>
</file>

<file path=xl/calcChain.xml><?xml version="1.0" encoding="utf-8"?>
<calcChain xmlns="http://schemas.openxmlformats.org/spreadsheetml/2006/main">
  <c r="AB1" i="7" l="1"/>
  <c r="AA1" i="7"/>
  <c r="Z1" i="7"/>
  <c r="X1" i="7"/>
  <c r="W1" i="7"/>
  <c r="V1" i="7"/>
  <c r="S43" i="7" l="1"/>
  <c r="S42" i="7"/>
  <c r="S41" i="7"/>
  <c r="S40" i="7"/>
  <c r="S39" i="7"/>
  <c r="S38" i="7"/>
  <c r="T37" i="7" s="1"/>
  <c r="S37" i="7"/>
  <c r="S36" i="7"/>
  <c r="S35" i="7"/>
  <c r="S34" i="7"/>
  <c r="S33" i="7"/>
  <c r="S32" i="7"/>
  <c r="T35" i="7"/>
  <c r="T41" i="7"/>
  <c r="S44" i="7"/>
  <c r="S45" i="7"/>
  <c r="T45" i="7" s="1"/>
  <c r="S46" i="7"/>
  <c r="S47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6" i="7"/>
  <c r="S5" i="7"/>
  <c r="S4" i="7"/>
  <c r="S3" i="7"/>
  <c r="S2" i="7"/>
  <c r="T2" i="7" s="1"/>
  <c r="M12" i="10"/>
  <c r="N11" i="10"/>
  <c r="N13" i="10"/>
  <c r="M13" i="10"/>
  <c r="N12" i="10"/>
  <c r="M9" i="10"/>
  <c r="S12" i="10"/>
  <c r="S11" i="10"/>
  <c r="S9" i="10"/>
  <c r="S3" i="10"/>
  <c r="S4" i="10"/>
  <c r="S5" i="10"/>
  <c r="S6" i="10"/>
  <c r="S7" i="10"/>
  <c r="S8" i="10"/>
  <c r="S14" i="10"/>
  <c r="S15" i="10"/>
  <c r="S16" i="10"/>
  <c r="S17" i="10"/>
  <c r="S2" i="10"/>
  <c r="T32" i="7" l="1"/>
  <c r="T47" i="7"/>
  <c r="T43" i="7"/>
  <c r="T39" i="7"/>
  <c r="T6" i="7"/>
  <c r="T28" i="7"/>
  <c r="T20" i="7"/>
  <c r="T16" i="7"/>
  <c r="T8" i="7"/>
  <c r="T46" i="7"/>
  <c r="T42" i="7"/>
  <c r="T40" i="7"/>
  <c r="T30" i="7"/>
  <c r="T26" i="7"/>
  <c r="T22" i="7"/>
  <c r="T18" i="7"/>
  <c r="T14" i="7"/>
  <c r="T10" i="7"/>
  <c r="T33" i="7"/>
  <c r="T24" i="7"/>
  <c r="T12" i="7"/>
  <c r="T44" i="7"/>
  <c r="T38" i="7"/>
  <c r="T36" i="7"/>
  <c r="T34" i="7"/>
  <c r="T3" i="7"/>
  <c r="T31" i="7"/>
  <c r="T29" i="7"/>
  <c r="T27" i="7"/>
  <c r="T25" i="7"/>
  <c r="T23" i="7"/>
  <c r="T21" i="7"/>
  <c r="T19" i="7"/>
  <c r="T17" i="7"/>
  <c r="T15" i="7"/>
  <c r="T13" i="7"/>
  <c r="T11" i="7"/>
  <c r="T9" i="7"/>
  <c r="T7" i="7"/>
  <c r="T4" i="7"/>
  <c r="T5" i="7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7" i="10"/>
  <c r="L18" i="10"/>
  <c r="L3" i="10"/>
  <c r="A9" i="10"/>
  <c r="A10" i="10"/>
  <c r="A11" i="10"/>
  <c r="A12" i="10"/>
  <c r="A13" i="10"/>
  <c r="A14" i="10"/>
  <c r="A15" i="10"/>
  <c r="A16" i="10"/>
  <c r="A17" i="10"/>
  <c r="A7" i="10"/>
  <c r="A6" i="10"/>
  <c r="A5" i="10"/>
  <c r="A4" i="10"/>
  <c r="N9" i="10" s="1"/>
  <c r="A3" i="10"/>
  <c r="A2" i="10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42" i="7"/>
  <c r="A43" i="7"/>
  <c r="A44" i="7" s="1"/>
  <c r="A45" i="7" s="1"/>
  <c r="A46" i="7" s="1"/>
  <c r="A47" i="7" s="1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7" i="10"/>
  <c r="T14" i="10"/>
  <c r="T8" i="10"/>
  <c r="T7" i="10"/>
  <c r="T15" i="10"/>
  <c r="T2" i="10"/>
  <c r="T12" i="10"/>
  <c r="T11" i="10"/>
  <c r="T13" i="10"/>
  <c r="M31" i="7"/>
  <c r="AB31" i="7"/>
  <c r="AA31" i="7"/>
  <c r="Z31" i="7"/>
  <c r="X31" i="7"/>
  <c r="W31" i="7"/>
  <c r="V31" i="7"/>
  <c r="E31" i="7"/>
  <c r="AB30" i="7"/>
  <c r="Z30" i="7"/>
  <c r="X30" i="7"/>
  <c r="W30" i="7"/>
  <c r="V30" i="7"/>
  <c r="M30" i="7"/>
  <c r="AA30" i="7" s="1"/>
  <c r="AB24" i="7"/>
  <c r="Z24" i="7"/>
  <c r="X24" i="7"/>
  <c r="W24" i="7"/>
  <c r="V24" i="7"/>
  <c r="AB27" i="7"/>
  <c r="Z27" i="7"/>
  <c r="X27" i="7"/>
  <c r="W27" i="7"/>
  <c r="V27" i="7"/>
  <c r="M27" i="7"/>
  <c r="AA27" i="7" s="1"/>
  <c r="Z29" i="7"/>
  <c r="W29" i="7"/>
  <c r="V29" i="7"/>
  <c r="O29" i="7"/>
  <c r="X29" i="7" s="1"/>
  <c r="M29" i="7"/>
  <c r="AA29" i="7" s="1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AA26" i="7" s="1"/>
  <c r="L26" i="7"/>
  <c r="AB26" i="7" s="1"/>
  <c r="E26" i="7"/>
  <c r="D26" i="7"/>
  <c r="AB25" i="7"/>
  <c r="AA25" i="7"/>
  <c r="Z25" i="7"/>
  <c r="X25" i="7"/>
  <c r="W25" i="7"/>
  <c r="V25" i="7"/>
  <c r="E20" i="7" l="1"/>
  <c r="AB18" i="7"/>
  <c r="AA18" i="7"/>
  <c r="Z18" i="7"/>
  <c r="X18" i="7"/>
  <c r="W18" i="7"/>
  <c r="V18" i="7"/>
  <c r="AB41" i="7" l="1"/>
  <c r="Z41" i="7"/>
  <c r="X41" i="7"/>
  <c r="W41" i="7"/>
  <c r="AA41" i="7" s="1"/>
  <c r="V41" i="7"/>
  <c r="AB43" i="7"/>
  <c r="Z43" i="7"/>
  <c r="X43" i="7"/>
  <c r="W43" i="7"/>
  <c r="V43" i="7"/>
  <c r="J43" i="7"/>
  <c r="I43" i="7"/>
  <c r="AA43" i="7" s="1"/>
  <c r="AB42" i="7"/>
  <c r="AA42" i="7"/>
  <c r="Z42" i="7"/>
  <c r="X42" i="7"/>
  <c r="W42" i="7"/>
  <c r="V42" i="7"/>
  <c r="M23" i="7"/>
  <c r="Z23" i="7"/>
  <c r="X23" i="7"/>
  <c r="W23" i="7"/>
  <c r="V23" i="7"/>
  <c r="O23" i="7"/>
  <c r="L23" i="7"/>
  <c r="AB23" i="7" s="1"/>
  <c r="E23" i="7"/>
  <c r="D23" i="7"/>
  <c r="AB22" i="7"/>
  <c r="AA22" i="7"/>
  <c r="Z22" i="7"/>
  <c r="X22" i="7"/>
  <c r="W22" i="7"/>
  <c r="V22" i="7"/>
  <c r="AA23" i="7" l="1"/>
  <c r="M24" i="7"/>
  <c r="AA24" i="7" s="1"/>
  <c r="AA17" i="7"/>
  <c r="O3" i="7" l="1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M20" i="7"/>
  <c r="AA20" i="7" s="1"/>
  <c r="M41" i="7" l="1"/>
  <c r="M21" i="7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W36" i="7" s="1"/>
  <c r="AA36" i="7" s="1"/>
  <c r="AB34" i="7"/>
  <c r="Z34" i="7"/>
  <c r="X34" i="7"/>
  <c r="W34" i="7"/>
  <c r="AA34" i="7" s="1"/>
  <c r="V34" i="7"/>
  <c r="AB38" i="7"/>
  <c r="Z38" i="7"/>
  <c r="X38" i="7"/>
  <c r="V38" i="7"/>
  <c r="J38" i="7"/>
  <c r="I38" i="7"/>
  <c r="W38" i="7" s="1"/>
  <c r="AA38" i="7" s="1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M10" i="7" s="1"/>
  <c r="AA10" i="7" s="1"/>
  <c r="AB10" i="7"/>
  <c r="E9" i="7"/>
  <c r="AB8" i="7"/>
  <c r="AA8" i="7"/>
  <c r="Z8" i="7"/>
  <c r="X8" i="7"/>
  <c r="W8" i="7"/>
  <c r="V8" i="7"/>
  <c r="M12" i="7"/>
  <c r="M13" i="7" s="1"/>
  <c r="AA13" i="7" s="1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M4" i="7" s="1"/>
  <c r="AA4" i="7" s="1"/>
  <c r="L3" i="7"/>
  <c r="AB3" i="7" s="1"/>
  <c r="E3" i="7"/>
  <c r="D3" i="7"/>
  <c r="AB2" i="7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AA6" i="7" s="1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A40" i="7" s="1"/>
  <c r="AB39" i="7"/>
  <c r="AA39" i="7"/>
  <c r="Z39" i="7"/>
  <c r="X39" i="7"/>
  <c r="W39" i="7"/>
  <c r="V39" i="7"/>
  <c r="AB33" i="7"/>
  <c r="Z33" i="7"/>
  <c r="X33" i="7"/>
  <c r="V33" i="7"/>
  <c r="J33" i="7"/>
  <c r="I33" i="7"/>
  <c r="W33" i="7" s="1"/>
  <c r="AA33" i="7" s="1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AA12" i="7" l="1"/>
  <c r="AB9" i="7"/>
  <c r="AA9" i="7"/>
  <c r="M7" i="7"/>
  <c r="AA7" i="7" s="1"/>
  <c r="L4" i="7"/>
  <c r="AB4" i="7" s="1"/>
  <c r="AA3" i="7"/>
  <c r="L7" i="7"/>
  <c r="AB7" i="7" s="1"/>
  <c r="N41" i="7" l="1"/>
  <c r="AA21" i="7"/>
  <c r="N32" i="7"/>
  <c r="M42" i="7" l="1"/>
  <c r="M43" i="7" s="1"/>
  <c r="M34" i="7"/>
  <c r="N43" i="7" l="1"/>
  <c r="N34" i="7"/>
  <c r="M35" i="7" l="1"/>
  <c r="N37" i="7"/>
  <c r="M37" i="7"/>
  <c r="N35" i="7" l="1"/>
  <c r="N39" i="7"/>
  <c r="M39" i="7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desc：Group组件；用于管理上面的布局；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desc：可自动伸缩的Group组件；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<sst xmlns="http://schemas.openxmlformats.org/spreadsheetml/2006/main" count="698" uniqueCount="132">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</sst>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</cellXfs>
  <cellStyles count="1">
    <cellStyle name="常规" xfId="0" builtinId="0"/>
  </cellStyles>
  <dxfs count="6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24</xdr:row>
      <xdr:rowOff>99391</xdr:rowOff>
    </xdr:from>
    <xdr:to>
      <xdr:col>8</xdr:col>
      <xdr:colOff>359040</xdr:colOff>
      <xdr:row>27</xdr:row>
      <xdr:rowOff>63302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24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23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24</xdr:row>
      <xdr:rowOff>107674</xdr:rowOff>
    </xdr:from>
    <xdr:to>
      <xdr:col>10</xdr:col>
      <xdr:colOff>2278554</xdr:colOff>
      <xdr:row>29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23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2"/>
  <sheetViews>
    <sheetView tabSelected="1" zoomScale="130" zoomScaleNormal="130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K20" sqref="K20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7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7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5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7" si="6">B3&amp;M3</f>
        <v>QLineEdit0</v>
      </c>
      <c r="T3" s="40">
        <f t="shared" ref="T3:T17" si="7">IF(COUNTIF(S:S,S3)&gt;1,0,1)</f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5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18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6"/>
        <v>QPushButton0</v>
      </c>
      <c r="T4" s="40">
        <f t="shared" si="7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5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6"/>
        <v>QComboBox0</v>
      </c>
      <c r="T5" s="40">
        <f t="shared" si="7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5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6"/>
        <v>QSpacerItem0</v>
      </c>
      <c r="T6" s="40">
        <f t="shared" si="7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5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6"/>
        <v>QTableWidget0</v>
      </c>
      <c r="T7" s="40">
        <f t="shared" si="7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5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6"/>
        <v>QRadioButton0</v>
      </c>
      <c r="T8" s="40">
        <f t="shared" si="7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ref="AA8" si="9">M:M</f>
        <v>0</v>
      </c>
      <c r="AB8" s="11" t="str">
        <f t="shared" si="5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7"/>
        <v>1</v>
      </c>
      <c r="V9" s="11" t="str">
        <f t="shared" ref="V9:W13" si="10">H9</f>
        <v>NULL</v>
      </c>
      <c r="W9" s="11">
        <f t="shared" si="10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5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1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7"/>
        <v>1</v>
      </c>
      <c r="V10" s="11" t="str">
        <f t="shared" si="10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5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7"/>
        <v>1</v>
      </c>
      <c r="V11" s="11" t="str">
        <f t="shared" si="10"/>
        <v>NULL</v>
      </c>
      <c r="W11" s="11">
        <f t="shared" si="10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5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B12&amp;I12</f>
        <v>QHBoxLayout_M6</v>
      </c>
      <c r="T12" s="40">
        <f t="shared" si="7"/>
        <v>1</v>
      </c>
      <c r="V12" s="11" t="str">
        <f t="shared" si="10"/>
        <v>NULL</v>
      </c>
      <c r="W12" s="11">
        <f t="shared" si="10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5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2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7"/>
        <v>1</v>
      </c>
      <c r="V13" s="11" t="str">
        <f t="shared" si="10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5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6"/>
        <v>UserDefined1</v>
      </c>
      <c r="T14" s="20">
        <f t="shared" si="7"/>
        <v>1</v>
      </c>
      <c r="V14" s="23" t="str">
        <f t="shared" ref="V14:W16" si="13">H14</f>
        <v>PathFile</v>
      </c>
      <c r="W14" s="23">
        <f t="shared" si="13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5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6"/>
        <v>UserDefined0</v>
      </c>
      <c r="T15" s="20">
        <f t="shared" si="7"/>
        <v>1</v>
      </c>
      <c r="V15" s="11" t="str">
        <f t="shared" si="13"/>
        <v>PathFile</v>
      </c>
      <c r="W15" s="11">
        <f t="shared" si="13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5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6"/>
        <v>Qlabel0</v>
      </c>
      <c r="T16" s="20">
        <f t="shared" si="7"/>
        <v>1</v>
      </c>
      <c r="V16" s="23" t="str">
        <f t="shared" si="13"/>
        <v>Picture</v>
      </c>
      <c r="W16" s="23" t="str">
        <f t="shared" si="13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5"/>
        <v>GuiF</v>
      </c>
    </row>
    <row r="17" spans="1:20" s="11" customFormat="1" x14ac:dyDescent="0.15">
      <c r="A17" s="15">
        <f t="shared" si="4"/>
        <v>16</v>
      </c>
      <c r="B17" s="16">
        <v>1</v>
      </c>
      <c r="C17" s="16">
        <v>2</v>
      </c>
      <c r="D17" s="16">
        <v>3</v>
      </c>
      <c r="E17" s="16">
        <v>4</v>
      </c>
      <c r="F17" s="16">
        <v>5</v>
      </c>
      <c r="G17" s="16">
        <v>6</v>
      </c>
      <c r="H17" s="16">
        <v>7</v>
      </c>
      <c r="I17" s="16">
        <v>8</v>
      </c>
      <c r="J17" s="16">
        <v>9</v>
      </c>
      <c r="K17" s="16">
        <v>10</v>
      </c>
      <c r="L17" s="15" t="str">
        <f t="shared" si="8"/>
        <v>GuiF</v>
      </c>
      <c r="M17" s="16">
        <v>12</v>
      </c>
      <c r="N17" s="16">
        <v>13</v>
      </c>
      <c r="O17" s="16">
        <v>14</v>
      </c>
      <c r="P17" s="16">
        <v>15</v>
      </c>
      <c r="Q17" s="16">
        <v>16</v>
      </c>
      <c r="S17" s="20" t="str">
        <f t="shared" si="6"/>
        <v>112</v>
      </c>
      <c r="T17" s="20">
        <f t="shared" si="7"/>
        <v>1</v>
      </c>
    </row>
    <row r="18" spans="1:20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5" t="str">
        <f t="shared" si="8"/>
        <v>GuiF</v>
      </c>
      <c r="M18" s="18"/>
      <c r="N18" s="18"/>
      <c r="O18" s="18"/>
      <c r="P18" s="18"/>
      <c r="Q18" s="18"/>
    </row>
    <row r="19" spans="1:20" x14ac:dyDescent="0.15">
      <c r="C19" s="4" t="s">
        <v>119</v>
      </c>
    </row>
    <row r="20" spans="1:20" x14ac:dyDescent="0.15">
      <c r="R20" s="4" t="s">
        <v>129</v>
      </c>
    </row>
    <row r="21" spans="1:20" ht="16.5" x14ac:dyDescent="0.15">
      <c r="Q21" s="14"/>
      <c r="R21" s="26">
        <v>1</v>
      </c>
      <c r="S21" s="26">
        <v>10</v>
      </c>
    </row>
    <row r="22" spans="1:20" x14ac:dyDescent="0.15">
      <c r="R22" s="27">
        <v>2</v>
      </c>
      <c r="S22" s="27">
        <v>11</v>
      </c>
    </row>
    <row r="23" spans="1:20" x14ac:dyDescent="0.15">
      <c r="R23" s="28">
        <v>3</v>
      </c>
      <c r="S23" s="28">
        <v>12</v>
      </c>
    </row>
    <row r="24" spans="1:20" x14ac:dyDescent="0.15">
      <c r="E24" t="s">
        <v>111</v>
      </c>
      <c r="J24" t="s">
        <v>113</v>
      </c>
      <c r="R24" s="29">
        <v>4</v>
      </c>
      <c r="S24" s="29">
        <v>13</v>
      </c>
    </row>
    <row r="25" spans="1:20" x14ac:dyDescent="0.15">
      <c r="A25" s="4" t="s">
        <v>108</v>
      </c>
      <c r="B25" s="4" t="s">
        <v>109</v>
      </c>
      <c r="R25" s="30">
        <v>5</v>
      </c>
      <c r="S25" s="30">
        <v>14</v>
      </c>
    </row>
    <row r="26" spans="1:20" x14ac:dyDescent="0.15">
      <c r="R26" s="11">
        <v>6</v>
      </c>
      <c r="S26" s="11">
        <v>15</v>
      </c>
    </row>
    <row r="27" spans="1:20" x14ac:dyDescent="0.15">
      <c r="R27" s="11">
        <v>7</v>
      </c>
      <c r="S27" s="11">
        <v>16</v>
      </c>
    </row>
    <row r="28" spans="1:20" x14ac:dyDescent="0.15">
      <c r="R28" s="11">
        <v>8</v>
      </c>
      <c r="S28" s="11">
        <v>17</v>
      </c>
    </row>
    <row r="29" spans="1:20" x14ac:dyDescent="0.15">
      <c r="R29" s="11"/>
      <c r="S29" s="11"/>
    </row>
    <row r="30" spans="1:20" ht="16.5" x14ac:dyDescent="0.15">
      <c r="O30" s="14"/>
      <c r="R30" s="11"/>
      <c r="S30" s="11"/>
    </row>
    <row r="31" spans="1:20" x14ac:dyDescent="0.15">
      <c r="R31" s="11"/>
      <c r="S31" s="11"/>
    </row>
    <row r="32" spans="1:20" x14ac:dyDescent="0.15">
      <c r="R32" s="11"/>
      <c r="S32" s="11"/>
    </row>
  </sheetData>
  <autoFilter ref="A1:Q17"/>
  <phoneticPr fontId="2" type="noConversion"/>
  <conditionalFormatting sqref="T1:T1048576">
    <cfRule type="cellIs" dxfId="5" priority="1" operator="lessThan">
      <formula>0.5</formula>
    </cfRule>
    <cfRule type="cellIs" dxfId="4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6 M14:M16 M2:M8">
      <formula1>0</formula1>
      <formula2>499</formula2>
    </dataValidation>
    <dataValidation type="whole" allowBlank="1" showInputMessage="1" showErrorMessage="1" errorTitle="输入值无效" error="请输入1-100的整数" sqref="F16:G16 F2:G13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AllNoChange!$B$2:$B$5</xm:f>
          </x14:formula1>
          <xm:sqref>I2 I16</xm:sqref>
        </x14:dataValidation>
        <x14:dataValidation type="list" allowBlank="1" showInputMessage="1" showErrorMessage="1">
          <x14:formula1>
            <xm:f>AllNoChange!$C$2:$C$5</xm:f>
          </x14:formula1>
          <xm:sqref>J2 J16</xm:sqref>
        </x14:dataValidation>
        <x14:dataValidation type="list" allowBlank="1" showInputMessage="1" showErrorMessage="1">
          <x14:formula1>
            <xm:f>AllNoChange!$A$2:$A$14</xm:f>
          </x14:formula1>
          <xm:sqref>B16 B2:B13</xm:sqref>
        </x14:dataValidation>
        <x14:dataValidation type="list" allowBlank="1" showInputMessage="1" showErrorMessage="1">
          <x14:formula1>
            <xm:f>AllNoChange!$A$2:$A$15</xm:f>
          </x14:formula1>
          <xm:sqref>B14:B15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Q8:Q12 P14:Q16 N3:N6 M10:O10 N14:N16 O4 O6 O9 O11:P12 O13 O16 K11:K15 C11:C12 C14:G15 J15 J11:J12 J3:J5 C5:C7 H6:H7 I7 J8:K9 P7:P9</xm:sqref>
        </x14:dataValidation>
        <x14:dataValidation type="list" allowBlank="1" showInputMessage="1" showErrorMessage="1">
          <x14:formula1>
            <xm:f>AllNoChange!$F$6:$F$7</xm:f>
          </x14:formula1>
          <xm:sqref>K10</xm:sqref>
        </x14:dataValidation>
        <x14:dataValidation type="list" allowBlank="1" showInputMessage="1" showErrorMessage="1">
          <x14:formula1>
            <xm:f>AllNoChange!$G$6:$G$8</xm:f>
          </x14:formula1>
          <xm:sqref>P10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0"/>
  <sheetViews>
    <sheetView workbookViewId="0">
      <selection activeCell="A19" sqref="A19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3" t="s">
        <v>27</v>
      </c>
      <c r="B12">
        <v>6</v>
      </c>
    </row>
    <row r="13" spans="1:7" x14ac:dyDescent="0.15">
      <c r="A13" s="5" t="s">
        <v>79</v>
      </c>
      <c r="B13">
        <v>7</v>
      </c>
    </row>
    <row r="14" spans="1:7" x14ac:dyDescent="0.15">
      <c r="A14" t="s">
        <v>100</v>
      </c>
      <c r="B14">
        <v>8</v>
      </c>
    </row>
    <row r="15" spans="1:7" x14ac:dyDescent="0.15">
      <c r="A15" t="s">
        <v>45</v>
      </c>
      <c r="B15">
        <v>9</v>
      </c>
    </row>
    <row r="16" spans="1:7" x14ac:dyDescent="0.15">
      <c r="B16">
        <v>10</v>
      </c>
    </row>
    <row r="17" spans="2:2" x14ac:dyDescent="0.15">
      <c r="B17">
        <v>11</v>
      </c>
    </row>
    <row r="18" spans="2:2" x14ac:dyDescent="0.15">
      <c r="B18">
        <v>12</v>
      </c>
    </row>
    <row r="19" spans="2:2" x14ac:dyDescent="0.15">
      <c r="B19">
        <v>13</v>
      </c>
    </row>
    <row r="20" spans="2:2" x14ac:dyDescent="0.15">
      <c r="B20">
        <v>14</v>
      </c>
    </row>
    <row r="21" spans="2:2" x14ac:dyDescent="0.15">
      <c r="B21">
        <v>15</v>
      </c>
    </row>
    <row r="22" spans="2:2" x14ac:dyDescent="0.15">
      <c r="B22">
        <v>16</v>
      </c>
    </row>
    <row r="23" spans="2:2" x14ac:dyDescent="0.15">
      <c r="B23">
        <v>17</v>
      </c>
    </row>
    <row r="24" spans="2:2" x14ac:dyDescent="0.15">
      <c r="B24">
        <v>18</v>
      </c>
    </row>
    <row r="25" spans="2:2" x14ac:dyDescent="0.15">
      <c r="B25">
        <v>19</v>
      </c>
    </row>
    <row r="26" spans="2:2" x14ac:dyDescent="0.15">
      <c r="B26">
        <v>20</v>
      </c>
    </row>
    <row r="27" spans="2:2" x14ac:dyDescent="0.15">
      <c r="B27">
        <v>21</v>
      </c>
    </row>
    <row r="28" spans="2:2" x14ac:dyDescent="0.15">
      <c r="B28">
        <v>22</v>
      </c>
    </row>
    <row r="29" spans="2:2" x14ac:dyDescent="0.15">
      <c r="B29">
        <v>23</v>
      </c>
    </row>
    <row r="30" spans="2:2" x14ac:dyDescent="0.15">
      <c r="B30">
        <v>24</v>
      </c>
    </row>
    <row r="31" spans="2:2" x14ac:dyDescent="0.15">
      <c r="B31">
        <v>25</v>
      </c>
    </row>
    <row r="32" spans="2:2" x14ac:dyDescent="0.15">
      <c r="B32">
        <v>26</v>
      </c>
    </row>
    <row r="33" spans="2:2" x14ac:dyDescent="0.15">
      <c r="B33">
        <v>27</v>
      </c>
    </row>
    <row r="34" spans="2:2" x14ac:dyDescent="0.15">
      <c r="B34">
        <v>28</v>
      </c>
    </row>
    <row r="35" spans="2:2" x14ac:dyDescent="0.15">
      <c r="B35">
        <v>29</v>
      </c>
    </row>
    <row r="36" spans="2:2" x14ac:dyDescent="0.15">
      <c r="B36">
        <v>30</v>
      </c>
    </row>
    <row r="37" spans="2:2" x14ac:dyDescent="0.15">
      <c r="B37">
        <v>31</v>
      </c>
    </row>
    <row r="38" spans="2:2" x14ac:dyDescent="0.15">
      <c r="B38">
        <v>32</v>
      </c>
    </row>
    <row r="39" spans="2:2" x14ac:dyDescent="0.15">
      <c r="B39">
        <v>33</v>
      </c>
    </row>
    <row r="40" spans="2:2" x14ac:dyDescent="0.15">
      <c r="B40">
        <v>34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K47" sqref="K47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3" priority="3" operator="lessThan">
      <formula>0.5</formula>
    </cfRule>
    <cfRule type="cellIs" dxfId="2" priority="4" operator="greaterThan">
      <formula>0</formula>
    </cfRule>
  </conditionalFormatting>
  <conditionalFormatting sqref="T1">
    <cfRule type="cellIs" dxfId="1" priority="1" operator="lessThan">
      <formula>0.5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BASEGUI</vt:lpstr>
      <vt:lpstr>AllNoChange</vt:lpstr>
      <vt:lpstr>FatigueAdvanceGui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2018-06-22T15:00:02Z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