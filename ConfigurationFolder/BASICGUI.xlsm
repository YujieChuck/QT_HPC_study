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16020" yWindow="0" windowWidth="13185" windowHeight="12585" activeTab="3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BASEGUI!$A$1:$Q$18</definedName>
  </definedNames>
  <calcPr calcId="152511"/>
</workbook>
</file>

<file path=xl/calcChain.xml><?xml version="1.0" encoding="utf-8"?>
<calcChain xmlns="http://schemas.openxmlformats.org/spreadsheetml/2006/main">
  <c r="AA8" i="11" l="1"/>
  <c r="Z8" i="11"/>
  <c r="W8" i="11"/>
  <c r="V8" i="11"/>
  <c r="S8" i="11"/>
  <c r="X8" i="11"/>
  <c r="L8" i="11"/>
  <c r="AB8" i="11" s="1"/>
  <c r="A8" i="11"/>
  <c r="N13" i="11" s="1"/>
  <c r="AA6" i="11" l="1"/>
  <c r="Z6" i="11"/>
  <c r="X6" i="11"/>
  <c r="W6" i="11"/>
  <c r="V6" i="11"/>
  <c r="S6" i="11"/>
  <c r="L6" i="11"/>
  <c r="AB6" i="11" s="1"/>
  <c r="A6" i="11"/>
  <c r="A7" i="11"/>
  <c r="L7" i="11"/>
  <c r="AB7" i="11" s="1"/>
  <c r="S7" i="11"/>
  <c r="V7" i="11"/>
  <c r="W7" i="11"/>
  <c r="X7" i="11"/>
  <c r="Z7" i="11"/>
  <c r="AA7" i="11"/>
  <c r="AB17" i="10" l="1"/>
  <c r="AA17" i="10"/>
  <c r="Z17" i="10"/>
  <c r="X17" i="10"/>
  <c r="W17" i="10"/>
  <c r="V17" i="10"/>
  <c r="S17" i="10"/>
  <c r="T17" i="10" s="1"/>
  <c r="A17" i="10"/>
  <c r="J17" i="11" l="1"/>
  <c r="AA18" i="11"/>
  <c r="Z18" i="11"/>
  <c r="X18" i="11"/>
  <c r="W18" i="11"/>
  <c r="V18" i="11"/>
  <c r="S18" i="11"/>
  <c r="L18" i="11"/>
  <c r="AB18" i="11" s="1"/>
  <c r="A18" i="11"/>
  <c r="Z19" i="11"/>
  <c r="X19" i="11"/>
  <c r="W19" i="11"/>
  <c r="AA19" i="11" s="1"/>
  <c r="V19" i="11"/>
  <c r="S19" i="11"/>
  <c r="L19" i="11"/>
  <c r="AB19" i="11" s="1"/>
  <c r="A19" i="11"/>
  <c r="Z17" i="11"/>
  <c r="X17" i="11"/>
  <c r="W17" i="11"/>
  <c r="V17" i="11"/>
  <c r="L17" i="11"/>
  <c r="AB17" i="11" s="1"/>
  <c r="I17" i="11"/>
  <c r="A17" i="11"/>
  <c r="N19" i="11" s="1"/>
  <c r="A15" i="11"/>
  <c r="L15" i="11"/>
  <c r="AB15" i="11" s="1"/>
  <c r="S15" i="11"/>
  <c r="V15" i="11"/>
  <c r="W15" i="11"/>
  <c r="AA15" i="11" s="1"/>
  <c r="X15" i="11"/>
  <c r="Z15" i="11"/>
  <c r="AA16" i="11"/>
  <c r="Z16" i="11"/>
  <c r="X16" i="11"/>
  <c r="W16" i="11"/>
  <c r="V16" i="11"/>
  <c r="S16" i="11"/>
  <c r="L16" i="11"/>
  <c r="AB16" i="11" s="1"/>
  <c r="A16" i="11"/>
  <c r="M19" i="11" s="1"/>
  <c r="S12" i="10"/>
  <c r="AA14" i="11"/>
  <c r="Z14" i="11"/>
  <c r="X14" i="11"/>
  <c r="W14" i="11"/>
  <c r="V14" i="11"/>
  <c r="S14" i="11"/>
  <c r="L14" i="11"/>
  <c r="AB14" i="11" s="1"/>
  <c r="A14" i="11"/>
  <c r="N15" i="11" s="1"/>
  <c r="Z13" i="11"/>
  <c r="X13" i="11"/>
  <c r="W13" i="11"/>
  <c r="AA13" i="11" s="1"/>
  <c r="V13" i="11"/>
  <c r="S13" i="11"/>
  <c r="L13" i="11"/>
  <c r="AB13" i="11" s="1"/>
  <c r="A13" i="11"/>
  <c r="M15" i="11" s="1"/>
  <c r="L12" i="11"/>
  <c r="AB12" i="11" s="1"/>
  <c r="L9" i="11"/>
  <c r="AB9" i="11" s="1"/>
  <c r="L5" i="11"/>
  <c r="AB5" i="11" s="1"/>
  <c r="L4" i="11"/>
  <c r="AB4" i="11" s="1"/>
  <c r="L3" i="11"/>
  <c r="AB3" i="11" s="1"/>
  <c r="AA12" i="11"/>
  <c r="Z12" i="11"/>
  <c r="X12" i="11"/>
  <c r="W12" i="11"/>
  <c r="V12" i="11"/>
  <c r="S12" i="11"/>
  <c r="A12" i="11"/>
  <c r="N18" i="11" s="1"/>
  <c r="AA11" i="11"/>
  <c r="Z11" i="11"/>
  <c r="X11" i="11"/>
  <c r="W11" i="11"/>
  <c r="V11" i="11"/>
  <c r="S11" i="11"/>
  <c r="L11" i="11"/>
  <c r="AB11" i="11" s="1"/>
  <c r="A11" i="11"/>
  <c r="M18" i="11" s="1"/>
  <c r="AA10" i="11"/>
  <c r="Z10" i="11"/>
  <c r="X10" i="11"/>
  <c r="W10" i="11"/>
  <c r="V10" i="11"/>
  <c r="S10" i="11"/>
  <c r="L10" i="11"/>
  <c r="AB10" i="11" s="1"/>
  <c r="A10" i="11"/>
  <c r="N16" i="11" s="1"/>
  <c r="AA9" i="11"/>
  <c r="Z9" i="11"/>
  <c r="W9" i="11"/>
  <c r="V9" i="11"/>
  <c r="S9" i="11"/>
  <c r="X9" i="11"/>
  <c r="A9" i="11"/>
  <c r="N14" i="11" s="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13" i="11" s="1"/>
  <c r="AA1" i="11"/>
  <c r="Z1" i="11"/>
  <c r="X1" i="11"/>
  <c r="W1" i="11"/>
  <c r="V1" i="11"/>
  <c r="T8" i="11" l="1"/>
  <c r="T6" i="11"/>
  <c r="M14" i="11"/>
  <c r="AA17" i="11"/>
  <c r="T19" i="11"/>
  <c r="S17" i="11"/>
  <c r="T7" i="11" s="1"/>
  <c r="M16" i="11"/>
  <c r="AA1" i="7"/>
  <c r="Z1" i="7"/>
  <c r="X1" i="7"/>
  <c r="W1" i="7"/>
  <c r="V1" i="7"/>
  <c r="T18" i="11" l="1"/>
  <c r="T17" i="1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S4" i="10"/>
  <c r="S5" i="10"/>
  <c r="S6" i="10"/>
  <c r="S7" i="10"/>
  <c r="S8" i="10"/>
  <c r="S14" i="10"/>
  <c r="S15" i="10"/>
  <c r="S16" i="10"/>
  <c r="S18" i="10"/>
  <c r="S2" i="10"/>
  <c r="T3" i="11" l="1"/>
  <c r="T2" i="11"/>
  <c r="T16" i="11"/>
  <c r="T15" i="11"/>
  <c r="T12" i="11"/>
  <c r="T5" i="11"/>
  <c r="T13" i="11"/>
  <c r="T4" i="11"/>
  <c r="T9" i="11"/>
  <c r="T10" i="11"/>
  <c r="T11" i="11"/>
  <c r="T14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8" i="10"/>
  <c r="L19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8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8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<sst xmlns="http://schemas.openxmlformats.org/spreadsheetml/2006/main" count="896" uniqueCount="156">
  <si>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</si>
  <si>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</si>
  <si>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</si>
  <si>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</si>
  <si>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</si>
  <si>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</si>
  <si>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</si>
  <si>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</si>
  <si>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</si>
  <si>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</si>
  <si>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</si>
  <si>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</si>
  <si>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</si>
  <si>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</si>
  <si>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</si>
  <si>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</si>
  <si>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</si>
  <si>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</si>
  <si>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</si>
  <si>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</si>
  <si>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</si>
  <si>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</si>
  <si>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</si>
  <si>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</si>
  <si>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</si>
  <si>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</si>
  <si>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</si>
  <si>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</si>
  <si>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</si>
  <si>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</si>
  <si>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</si>
  <si>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</si>
  <si>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</si>
  <si>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</si>
  <si>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</si>
  <si>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</si>
  <si>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</si>
  <si>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</si>
  <si>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</si>
  <si>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</si>
  <si>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</si>
  <si>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</si>
  <si>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</si>
  <si>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</si>
  <si>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</si>
  <si>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</si>
  <si>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</si>
  <si>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</si>
  <si>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</si>
  <si>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</si>
  <si>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</si>
  <si>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</si>
  <si>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</si>
  <si>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</si>
  <si>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</si>
  <si>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</si>
  <si>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</si>
  <si>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</si>
  <si>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</si>
  <si>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</si>
  <si>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</si>
  <si>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</si>
  <si>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</si>
  <si>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</si>
  <si>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</si>
  <si>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</si>
  <si>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</si>
  <si>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</si>
  <si>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</si>
  <si>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</si>
  <si>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</si>
  <si>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</si>
  <si>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</si>
  <si>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</si>
  <si>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</si>
  <si>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</si>
  <si>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</si>
  <si>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</si>
  <si>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</si>
  <si>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</si>
  <si>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</si>
  <si>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</si>
  <si>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</si>
  <si>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</si>
  <si>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</si>
  <si>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</si>
  <si>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</si>
  <si>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</si>
  <si>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</si>
  <si>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</si>
  <si>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</si>
  <si>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</si>
  <si>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</si>
  <si>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</si>
  <si>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</si>
  <si>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</si>
  <si>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</si>
  <si>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</si>
  <si>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</si>
  <si>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</si>
  <si>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</si>
  <si>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</si>
  <si>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</si>
  <si>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</si>
  <si>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</si>
  <si>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</si>
  <si>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</si>
  <si>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</si>
  <si>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</si>
  <si>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</si>
  <si>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</si>
  <si>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</si>
  <si>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</si>
  <si>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</si>
  <si>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</si>
  <si>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</si>
  <si>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</si>
  <si>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</si>
  <si>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</si>
  <si>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</si>
  <si>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</si>
  <si>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</si>
  <si>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</si>
  <si>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</si>
  <si>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</si>
  <si>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</si>
  <si>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</si>
  <si>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</si>
  <si>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</si>
  <si>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</si>
  <si>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</si>
  <si>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</si>
  <si>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</si>
  <si>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ConfigurationFolder\images\blue_open.png</t>
    <phoneticPr fontId="2" type="noConversion"/>
  </si>
  <si>
    <t>ConfigurationFolder\images\blue_save.png</t>
    <phoneticPr fontId="2" type="noConversion"/>
  </si>
  <si>
    <t>ConfigurationFolder\images\blue_edit.png</t>
    <phoneticPr fontId="2" type="noConversion"/>
  </si>
  <si>
    <t>ConfigurationFolder\images\blue_yes.png</t>
    <phoneticPr fontId="2" type="noConversion"/>
  </si>
  <si>
    <t>ConfigurationFolder\images\blue_atta.png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</si>
  <si>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</si>
  <si>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</si>
  <si>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</si>
  <si>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</si>
  <si>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</si>
  <si>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</si>
  <si>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</si>
  <si>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</si>
  <si>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</si>
  <si>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</si>
  <si>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</si>
  <si>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</si>
  <si>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</si>
  <si>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</si>
  <si>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</si>
  <si>
    <t>StudyCode</t>
    <phoneticPr fontId="2" type="noConversion"/>
  </si>
  <si>
    <t>Origin code</t>
    <phoneticPr fontId="2" type="noConversion"/>
  </si>
  <si>
    <t>Code file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</si>
</sst>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48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25</xdr:row>
      <xdr:rowOff>99391</xdr:rowOff>
    </xdr:from>
    <xdr:to>
      <xdr:col>8</xdr:col>
      <xdr:colOff>359040</xdr:colOff>
      <xdr:row>28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25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24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25</xdr:row>
      <xdr:rowOff>107674</xdr:rowOff>
    </xdr:from>
    <xdr:to>
      <xdr:col>10</xdr:col>
      <xdr:colOff>2278554</xdr:colOff>
      <xdr:row>30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24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3"/>
  <sheetViews>
    <sheetView zoomScale="115" zoomScaleNormal="11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A3" sqref="A3:XFD3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8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8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 t="shared" ref="T2:T18" si="5"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6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8" si="7">B3&amp;M3</f>
        <v>QLineEdit0</v>
      </c>
      <c r="T3" s="40">
        <f t="shared" si="5"/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6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19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QPushButton0</v>
      </c>
      <c r="T4" s="40">
        <f t="shared" si="5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6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7"/>
        <v>QComboBox0</v>
      </c>
      <c r="T5" s="40">
        <f t="shared" si="5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6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7"/>
        <v>QSpacerItem0</v>
      </c>
      <c r="T6" s="40">
        <f t="shared" si="5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6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7"/>
        <v>QTableWidget0</v>
      </c>
      <c r="T7" s="40">
        <f t="shared" si="5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6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7"/>
        <v>QRadioButton0</v>
      </c>
      <c r="T8" s="40">
        <f t="shared" si="5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si="3"/>
        <v>0</v>
      </c>
      <c r="AB8" s="11" t="str">
        <f t="shared" si="6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5"/>
        <v>1</v>
      </c>
      <c r="V9" s="11" t="str">
        <f t="shared" ref="V9:W13" si="9">H9</f>
        <v>NULL</v>
      </c>
      <c r="W9" s="11">
        <f t="shared" si="9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6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0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5"/>
        <v>1</v>
      </c>
      <c r="V10" s="11" t="str">
        <f t="shared" si="9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6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5"/>
        <v>1</v>
      </c>
      <c r="V11" s="11" t="str">
        <f t="shared" si="9"/>
        <v>NULL</v>
      </c>
      <c r="W11" s="11">
        <f t="shared" si="9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6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5"/>
        <v>1</v>
      </c>
      <c r="V12" s="11" t="str">
        <f t="shared" si="9"/>
        <v>NULL</v>
      </c>
      <c r="W12" s="11">
        <f t="shared" si="9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6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1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5"/>
        <v>1</v>
      </c>
      <c r="V13" s="11" t="str">
        <f t="shared" si="9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6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7"/>
        <v>UserDefined1</v>
      </c>
      <c r="T14" s="20">
        <f t="shared" si="5"/>
        <v>1</v>
      </c>
      <c r="V14" s="23" t="str">
        <f t="shared" ref="V14:W17" si="12">H14</f>
        <v>PathFile</v>
      </c>
      <c r="W14" s="23">
        <f t="shared" si="12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6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7"/>
        <v>UserDefined0</v>
      </c>
      <c r="T15" s="20">
        <f t="shared" si="5"/>
        <v>1</v>
      </c>
      <c r="V15" s="11" t="str">
        <f t="shared" si="12"/>
        <v>PathFile</v>
      </c>
      <c r="W15" s="11">
        <f t="shared" si="12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6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7"/>
        <v>Qlabel0</v>
      </c>
      <c r="T16" s="20">
        <f t="shared" si="5"/>
        <v>1</v>
      </c>
      <c r="V16" s="23" t="str">
        <f t="shared" si="12"/>
        <v>Picture</v>
      </c>
      <c r="W16" s="23" t="str">
        <f t="shared" si="12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6"/>
        <v>GuiF</v>
      </c>
    </row>
    <row r="17" spans="1:28" s="40" customFormat="1" ht="16.5" x14ac:dyDescent="0.15">
      <c r="A17" s="51">
        <f t="shared" si="4"/>
        <v>16</v>
      </c>
      <c r="B17" s="51" t="s">
        <v>138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 t="shared" si="5"/>
        <v>1</v>
      </c>
      <c r="V17" s="41" t="str">
        <f t="shared" si="12"/>
        <v>NULL</v>
      </c>
      <c r="W17" s="41" t="str">
        <f t="shared" si="12"/>
        <v>AlignLeft</v>
      </c>
      <c r="X17" s="41" t="str">
        <f t="shared" ref="X17" si="13">O17</f>
        <v>NULL</v>
      </c>
      <c r="Y17" s="40">
        <v>0</v>
      </c>
      <c r="Z17" s="41" t="str">
        <f t="shared" ref="Z17" si="14">B17</f>
        <v>QTextEdit</v>
      </c>
      <c r="AA17" s="41">
        <f>M:M</f>
        <v>1</v>
      </c>
      <c r="AB17" s="41" t="str">
        <f t="shared" ref="AB17" si="15">L17</f>
        <v>GuiF</v>
      </c>
    </row>
    <row r="18" spans="1:28" s="11" customFormat="1" x14ac:dyDescent="0.15">
      <c r="A18" s="15">
        <f t="shared" si="4"/>
        <v>17</v>
      </c>
      <c r="B18" s="16">
        <v>1</v>
      </c>
      <c r="C18" s="16">
        <v>2</v>
      </c>
      <c r="D18" s="16">
        <v>3</v>
      </c>
      <c r="E18" s="16">
        <v>4</v>
      </c>
      <c r="F18" s="16">
        <v>5</v>
      </c>
      <c r="G18" s="16">
        <v>6</v>
      </c>
      <c r="H18" s="16">
        <v>7</v>
      </c>
      <c r="I18" s="16">
        <v>8</v>
      </c>
      <c r="J18" s="16">
        <v>9</v>
      </c>
      <c r="K18" s="16">
        <v>10</v>
      </c>
      <c r="L18" s="15" t="str">
        <f t="shared" si="8"/>
        <v>GuiF</v>
      </c>
      <c r="M18" s="16">
        <v>12</v>
      </c>
      <c r="N18" s="16">
        <v>13</v>
      </c>
      <c r="O18" s="16">
        <v>14</v>
      </c>
      <c r="P18" s="16">
        <v>15</v>
      </c>
      <c r="Q18" s="16">
        <v>16</v>
      </c>
      <c r="S18" s="20" t="str">
        <f t="shared" si="7"/>
        <v>112</v>
      </c>
      <c r="T18" s="20">
        <f t="shared" si="5"/>
        <v>1</v>
      </c>
    </row>
    <row r="19" spans="1:28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5" t="str">
        <f t="shared" si="8"/>
        <v>GuiF</v>
      </c>
      <c r="M19" s="18"/>
      <c r="N19" s="18"/>
      <c r="O19" s="18"/>
      <c r="P19" s="18"/>
      <c r="Q19" s="18"/>
    </row>
    <row r="20" spans="1:28" x14ac:dyDescent="0.15">
      <c r="C20" s="4" t="s">
        <v>119</v>
      </c>
    </row>
    <row r="21" spans="1:28" x14ac:dyDescent="0.15">
      <c r="R21" s="4" t="s">
        <v>129</v>
      </c>
    </row>
    <row r="22" spans="1:28" ht="16.5" x14ac:dyDescent="0.15">
      <c r="Q22" s="14"/>
      <c r="R22" s="26">
        <v>1</v>
      </c>
      <c r="S22" s="26">
        <v>10</v>
      </c>
    </row>
    <row r="23" spans="1:28" x14ac:dyDescent="0.15">
      <c r="R23" s="27">
        <v>2</v>
      </c>
      <c r="S23" s="27">
        <v>11</v>
      </c>
    </row>
    <row r="24" spans="1:28" x14ac:dyDescent="0.15">
      <c r="R24" s="28">
        <v>3</v>
      </c>
      <c r="S24" s="28">
        <v>12</v>
      </c>
    </row>
    <row r="25" spans="1:28" x14ac:dyDescent="0.15">
      <c r="E25" t="s">
        <v>111</v>
      </c>
      <c r="J25" t="s">
        <v>113</v>
      </c>
      <c r="R25" s="29">
        <v>4</v>
      </c>
      <c r="S25" s="29">
        <v>13</v>
      </c>
    </row>
    <row r="26" spans="1:28" x14ac:dyDescent="0.15">
      <c r="A26" s="4" t="s">
        <v>108</v>
      </c>
      <c r="B26" s="4" t="s">
        <v>109</v>
      </c>
      <c r="R26" s="30">
        <v>5</v>
      </c>
      <c r="S26" s="30">
        <v>14</v>
      </c>
    </row>
    <row r="27" spans="1:28" x14ac:dyDescent="0.15">
      <c r="R27" s="11">
        <v>6</v>
      </c>
      <c r="S27" s="11">
        <v>15</v>
      </c>
    </row>
    <row r="28" spans="1:28" x14ac:dyDescent="0.15">
      <c r="R28" s="11">
        <v>7</v>
      </c>
      <c r="S28" s="11">
        <v>16</v>
      </c>
    </row>
    <row r="29" spans="1:28" x14ac:dyDescent="0.15">
      <c r="R29" s="11">
        <v>8</v>
      </c>
      <c r="S29" s="11">
        <v>17</v>
      </c>
    </row>
    <row r="30" spans="1:28" x14ac:dyDescent="0.15">
      <c r="R30" s="11"/>
      <c r="S30" s="11"/>
    </row>
    <row r="31" spans="1:28" ht="16.5" x14ac:dyDescent="0.15">
      <c r="O31" s="14"/>
      <c r="R31" s="11"/>
      <c r="S31" s="11"/>
    </row>
    <row r="32" spans="1:28" x14ac:dyDescent="0.15">
      <c r="R32" s="11"/>
      <c r="S32" s="11"/>
    </row>
    <row r="33" spans="18:19" x14ac:dyDescent="0.15">
      <c r="R33" s="11"/>
      <c r="S33" s="11"/>
    </row>
  </sheetData>
  <autoFilter ref="A1:Q18"/>
  <phoneticPr fontId="2" type="noConversion"/>
  <conditionalFormatting sqref="T1:T16 T18:T1048576">
    <cfRule type="cellIs" dxfId="47" priority="3" operator="lessThan">
      <formula>0.5</formula>
    </cfRule>
    <cfRule type="cellIs" dxfId="46" priority="4" operator="greaterThan">
      <formula>0</formula>
    </cfRule>
  </conditionalFormatting>
  <conditionalFormatting sqref="T17">
    <cfRule type="cellIs" dxfId="45" priority="1" operator="lessThan">
      <formula>0.5</formula>
    </cfRule>
    <cfRule type="cellIs" dxfId="44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M14:M17 M2:M8 D16:E17">
      <formula1>0</formula1>
      <formula2>499</formula2>
    </dataValidation>
    <dataValidation type="whole" allowBlank="1" showInputMessage="1" showErrorMessage="1" errorTitle="输入值无效" error="请输入1-100的整数" sqref="F2:G13 F16:G17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H17 K17 N17:Q17</xm:sqref>
        </x14:dataValidation>
        <x14:dataValidation type="list" allowBlank="1" showInputMessage="1" showErrorMessage="1">
          <x14:formula1>
            <xm:f>AllNoChange!$F$6:$F$7</xm:f>
          </x14:formula1>
          <xm:sqref>K10</xm:sqref>
        </x14:dataValidation>
        <x14:dataValidation type="list" allowBlank="1" showInputMessage="1" showErrorMessage="1">
          <x14:formula1>
            <xm:f>AllNoChange!$G$6:$G$8</xm:f>
          </x14:formula1>
          <xm:sqref>P10</xm:sqref>
        </x14:dataValidation>
        <x14:dataValidation type="list" allowBlank="1" showInputMessage="1" showErrorMessage="1">
          <x14:formula1>
            <xm:f>AllNoChange!$A$2:$A$18</xm:f>
          </x14:formula1>
          <xm:sqref>B2:B17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3" sqref="A13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151</v>
      </c>
    </row>
    <row r="13" spans="1:7" x14ac:dyDescent="0.15">
      <c r="A13" s="8" t="s">
        <v>152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139</v>
      </c>
      <c r="B18">
        <v>10</v>
      </c>
    </row>
    <row r="19" spans="1:2" x14ac:dyDescent="0.15"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43" priority="3" operator="lessThan">
      <formula>0.5</formula>
    </cfRule>
    <cfRule type="cellIs" dxfId="42" priority="4" operator="greaterThan">
      <formula>0</formula>
    </cfRule>
  </conditionalFormatting>
  <conditionalFormatting sqref="T1">
    <cfRule type="cellIs" dxfId="41" priority="1" operator="lessThan">
      <formula>0.5</formula>
    </cfRule>
    <cfRule type="cellIs" dxfId="4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19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9" sqref="F19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19" si="3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133</v>
      </c>
      <c r="L2" s="54" t="s">
        <v>132</v>
      </c>
      <c r="M2" s="52">
        <v>0</v>
      </c>
      <c r="N2" s="54" t="s">
        <v>149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4">B2&amp;M2</f>
        <v>QPushButton0</v>
      </c>
      <c r="T2" s="65">
        <f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>M:M</f>
        <v>0</v>
      </c>
      <c r="AB2" s="66" t="str">
        <f t="shared" ref="AB2" si="5">L2</f>
        <v>GuiStudyPro</v>
      </c>
    </row>
    <row r="3" spans="1:28" s="1" customFormat="1" ht="16.5" x14ac:dyDescent="0.15">
      <c r="A3" s="54">
        <f t="shared" si="3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134</v>
      </c>
      <c r="L3" s="54" t="str">
        <f t="shared" ref="L3:L5" si="6">$L$2</f>
        <v>GuiStudyPro</v>
      </c>
      <c r="M3" s="52">
        <v>1</v>
      </c>
      <c r="N3" s="54" t="s">
        <v>141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7">B3&amp;M3</f>
        <v>QPushButton1</v>
      </c>
      <c r="T3" s="65">
        <f>IF(COUNTIF(S:S,S3)&gt;1,0,1)</f>
        <v>1</v>
      </c>
      <c r="V3" s="66" t="str">
        <f t="shared" ref="V3" si="8">H3</f>
        <v>NULL</v>
      </c>
      <c r="W3" s="66" t="str">
        <f t="shared" ref="W3" si="9">I3</f>
        <v>NULL</v>
      </c>
      <c r="X3" s="66" t="str">
        <f t="shared" ref="X3" si="10">O3</f>
        <v>NULL</v>
      </c>
      <c r="Y3" s="1">
        <v>0</v>
      </c>
      <c r="Z3" s="66" t="str">
        <f t="shared" ref="Z3" si="11">B3</f>
        <v>QPushButton</v>
      </c>
      <c r="AA3" s="66">
        <f>M:M</f>
        <v>1</v>
      </c>
      <c r="AB3" s="66" t="str">
        <f t="shared" ref="AB3" si="12">L3</f>
        <v>GuiStudyPro</v>
      </c>
    </row>
    <row r="4" spans="1:28" s="1" customFormat="1" ht="16.5" x14ac:dyDescent="0.15">
      <c r="A4" s="54">
        <f t="shared" si="3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135</v>
      </c>
      <c r="L4" s="54" t="str">
        <f t="shared" si="6"/>
        <v>GuiStudyPro</v>
      </c>
      <c r="M4" s="52">
        <v>2</v>
      </c>
      <c r="N4" s="54" t="s">
        <v>142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3">B4&amp;M4</f>
        <v>QPushButton2</v>
      </c>
      <c r="T4" s="65">
        <f>IF(COUNTIF(S:S,S4)&gt;1,0,1)</f>
        <v>1</v>
      </c>
      <c r="V4" s="66" t="str">
        <f t="shared" ref="V4" si="14">H4</f>
        <v>NULL</v>
      </c>
      <c r="W4" s="66" t="str">
        <f t="shared" ref="W4" si="15">I4</f>
        <v>NULL</v>
      </c>
      <c r="X4" s="66" t="str">
        <f t="shared" ref="X4" si="16">O4</f>
        <v>NULL</v>
      </c>
      <c r="Y4" s="1">
        <v>0</v>
      </c>
      <c r="Z4" s="66" t="str">
        <f t="shared" ref="Z4" si="17">B4</f>
        <v>QPushButton</v>
      </c>
      <c r="AA4" s="66">
        <f>M:M</f>
        <v>2</v>
      </c>
      <c r="AB4" s="66" t="str">
        <f t="shared" ref="AB4" si="18">L4</f>
        <v>GuiStudyPro</v>
      </c>
    </row>
    <row r="5" spans="1:28" s="1" customFormat="1" ht="16.5" x14ac:dyDescent="0.15">
      <c r="A5" s="54">
        <f t="shared" si="3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136</v>
      </c>
      <c r="L5" s="54" t="str">
        <f t="shared" si="6"/>
        <v>GuiStudyPro</v>
      </c>
      <c r="M5" s="52">
        <v>3</v>
      </c>
      <c r="N5" s="54" t="s">
        <v>143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19">B5&amp;M5</f>
        <v>QPushButton3</v>
      </c>
      <c r="T5" s="65">
        <f>IF(COUNTIF(S:S,S5)&gt;1,0,1)</f>
        <v>1</v>
      </c>
      <c r="V5" s="66" t="str">
        <f t="shared" ref="V5" si="20">H5</f>
        <v>NULL</v>
      </c>
      <c r="W5" s="66" t="str">
        <f t="shared" ref="W5" si="21">I5</f>
        <v>NULL</v>
      </c>
      <c r="X5" s="66" t="str">
        <f t="shared" ref="X5" si="22">O5</f>
        <v>NULL</v>
      </c>
      <c r="Y5" s="1">
        <v>0</v>
      </c>
      <c r="Z5" s="66" t="str">
        <f t="shared" ref="Z5" si="23">B5</f>
        <v>QPushButton</v>
      </c>
      <c r="AA5" s="66">
        <f>M:M</f>
        <v>3</v>
      </c>
      <c r="AB5" s="66" t="str">
        <f t="shared" ref="AB5" si="24">L5</f>
        <v>GuiStudyPro</v>
      </c>
    </row>
    <row r="6" spans="1:28" s="1" customFormat="1" ht="16.5" x14ac:dyDescent="0.15">
      <c r="A6" s="54">
        <f t="shared" si="3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137</v>
      </c>
      <c r="L6" s="54" t="str">
        <f t="shared" ref="L6:L19" si="25">$L$2</f>
        <v>GuiStudyPro</v>
      </c>
      <c r="M6" s="52">
        <v>5</v>
      </c>
      <c r="N6" s="54" t="s">
        <v>144</v>
      </c>
      <c r="O6" s="55" t="s">
        <v>19</v>
      </c>
      <c r="P6" s="55" t="s">
        <v>19</v>
      </c>
      <c r="Q6" s="55" t="s">
        <v>19</v>
      </c>
      <c r="R6" s="47"/>
      <c r="S6" s="65" t="str">
        <f t="shared" ref="S6" si="26">B6&amp;M6</f>
        <v>QPushButton5</v>
      </c>
      <c r="T6" s="65">
        <f>IF(COUNTIF(S:S,S6)&gt;1,0,1)</f>
        <v>1</v>
      </c>
      <c r="V6" s="66" t="str">
        <f t="shared" ref="V6" si="27">H6</f>
        <v>NULL</v>
      </c>
      <c r="W6" s="66" t="str">
        <f t="shared" ref="W6" si="28">I6</f>
        <v>NULL</v>
      </c>
      <c r="X6" s="66" t="str">
        <f t="shared" ref="X6" si="29">O6</f>
        <v>NULL</v>
      </c>
      <c r="Y6" s="1">
        <v>0</v>
      </c>
      <c r="Z6" s="66" t="str">
        <f t="shared" ref="Z6" si="30">B6</f>
        <v>QPushButton</v>
      </c>
      <c r="AA6" s="66">
        <f>M:M</f>
        <v>5</v>
      </c>
      <c r="AB6" s="66" t="str">
        <f t="shared" ref="AB6" si="31">L6</f>
        <v>GuiStudyPro</v>
      </c>
    </row>
    <row r="7" spans="1:28" s="66" customFormat="1" ht="16.5" x14ac:dyDescent="0.15">
      <c r="A7" s="54">
        <f t="shared" si="3"/>
        <v>6</v>
      </c>
      <c r="B7" s="55" t="s">
        <v>30</v>
      </c>
      <c r="C7" s="55" t="s">
        <v>19</v>
      </c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5" t="s">
        <v>19</v>
      </c>
      <c r="J7" s="55" t="s">
        <v>19</v>
      </c>
      <c r="K7" s="55" t="s">
        <v>19</v>
      </c>
      <c r="L7" s="54" t="str">
        <f t="shared" si="25"/>
        <v>GuiStudyPro</v>
      </c>
      <c r="M7" s="52">
        <v>0</v>
      </c>
      <c r="N7" s="55" t="s">
        <v>19</v>
      </c>
      <c r="O7" s="55" t="s">
        <v>19</v>
      </c>
      <c r="P7" s="55" t="s">
        <v>19</v>
      </c>
      <c r="Q7" s="55" t="s">
        <v>19</v>
      </c>
      <c r="R7" s="26"/>
      <c r="S7" s="65" t="str">
        <f t="shared" ref="S7:S8" si="32">B7&amp;M7</f>
        <v>QSpacerItem0</v>
      </c>
      <c r="T7" s="65">
        <f>IF(COUNTIF(S:S,S7)&gt;1,0,1)</f>
        <v>1</v>
      </c>
      <c r="V7" s="66" t="str">
        <f t="shared" ref="V7:W8" si="33">H7</f>
        <v>NULL</v>
      </c>
      <c r="W7" s="66" t="str">
        <f t="shared" ref="W7" si="34">I7</f>
        <v>NULL</v>
      </c>
      <c r="X7" s="66" t="str">
        <f t="shared" ref="X7:X8" si="35">O7</f>
        <v>NULL</v>
      </c>
      <c r="Y7" s="66">
        <v>13</v>
      </c>
      <c r="Z7" s="66" t="str">
        <f t="shared" ref="Z7:Z8" si="36">B7</f>
        <v>QSpacerItem</v>
      </c>
      <c r="AA7" s="66">
        <f>M:M</f>
        <v>0</v>
      </c>
      <c r="AB7" s="66" t="str">
        <f t="shared" ref="AB7:AB8" si="37">L7</f>
        <v>GuiStudyPro</v>
      </c>
    </row>
    <row r="8" spans="1:28" s="13" customFormat="1" ht="16.5" x14ac:dyDescent="0.15">
      <c r="A8" s="54">
        <f t="shared" si="3"/>
        <v>7</v>
      </c>
      <c r="B8" s="55" t="s">
        <v>22</v>
      </c>
      <c r="C8" s="54" t="s">
        <v>106</v>
      </c>
      <c r="D8" s="52">
        <v>0</v>
      </c>
      <c r="E8" s="52">
        <v>6</v>
      </c>
      <c r="F8" s="52">
        <v>1</v>
      </c>
      <c r="G8" s="52">
        <v>1</v>
      </c>
      <c r="H8" s="54" t="s">
        <v>153</v>
      </c>
      <c r="I8" s="54">
        <v>100</v>
      </c>
      <c r="J8" s="55" t="s">
        <v>19</v>
      </c>
      <c r="K8" s="55" t="s">
        <v>19</v>
      </c>
      <c r="L8" s="54" t="str">
        <f>$L$2</f>
        <v>GuiStudyPro</v>
      </c>
      <c r="M8" s="52">
        <v>0</v>
      </c>
      <c r="N8" s="55" t="s">
        <v>19</v>
      </c>
      <c r="O8" s="52" t="s">
        <v>155</v>
      </c>
      <c r="P8" s="55" t="s">
        <v>19</v>
      </c>
      <c r="Q8" s="55" t="s">
        <v>19</v>
      </c>
      <c r="R8" s="47"/>
      <c r="S8" s="40" t="str">
        <f t="shared" si="32"/>
        <v>QLineEdit0</v>
      </c>
      <c r="T8" s="40">
        <f>IF(COUNTIF(S:S,S8)&gt;1,0,1)</f>
        <v>1</v>
      </c>
      <c r="V8" s="11" t="str">
        <f t="shared" si="33"/>
        <v>StudyCode</v>
      </c>
      <c r="W8" s="11">
        <f t="shared" si="33"/>
        <v>100</v>
      </c>
      <c r="X8" s="11" t="str">
        <f t="shared" si="35"/>
        <v>Code file</v>
      </c>
      <c r="Y8" s="13">
        <v>0</v>
      </c>
      <c r="Z8" s="11" t="str">
        <f t="shared" si="36"/>
        <v>QLineEdit</v>
      </c>
      <c r="AA8" s="11">
        <f>M:M</f>
        <v>0</v>
      </c>
      <c r="AB8" s="11" t="str">
        <f t="shared" si="37"/>
        <v>GuiStudyPro</v>
      </c>
    </row>
    <row r="9" spans="1:28" s="1" customFormat="1" ht="16.5" x14ac:dyDescent="0.15">
      <c r="A9" s="58">
        <f t="shared" si="3"/>
        <v>8</v>
      </c>
      <c r="B9" s="59" t="s">
        <v>138</v>
      </c>
      <c r="C9" s="58" t="s">
        <v>106</v>
      </c>
      <c r="D9" s="60">
        <v>0</v>
      </c>
      <c r="E9" s="60">
        <v>0</v>
      </c>
      <c r="F9" s="60">
        <v>1</v>
      </c>
      <c r="G9" s="60">
        <v>1</v>
      </c>
      <c r="H9" s="58" t="s">
        <v>140</v>
      </c>
      <c r="I9" s="76" t="s">
        <v>88</v>
      </c>
      <c r="J9" s="76" t="s">
        <v>89</v>
      </c>
      <c r="K9" s="59" t="s">
        <v>19</v>
      </c>
      <c r="L9" s="58" t="str">
        <f t="shared" si="25"/>
        <v>GuiStudyPro</v>
      </c>
      <c r="M9" s="60">
        <v>0</v>
      </c>
      <c r="N9" s="59" t="s">
        <v>19</v>
      </c>
      <c r="O9" s="60" t="s">
        <v>154</v>
      </c>
      <c r="P9" s="59" t="s">
        <v>19</v>
      </c>
      <c r="Q9" s="59" t="s">
        <v>19</v>
      </c>
      <c r="R9" s="61"/>
      <c r="S9" s="65" t="str">
        <f t="shared" ref="S9:S11" si="38">B9&amp;M9</f>
        <v>QTextEdit0</v>
      </c>
      <c r="T9" s="65">
        <f>IF(COUNTIF(S:S,S9)&gt;1,0,1)</f>
        <v>1</v>
      </c>
      <c r="V9" s="66" t="str">
        <f t="shared" ref="V9:W10" si="39">H9</f>
        <v>StudyCode</v>
      </c>
      <c r="W9" s="66" t="str">
        <f t="shared" si="39"/>
        <v>AlignLeft</v>
      </c>
      <c r="X9" s="66" t="str">
        <f t="shared" ref="X9:X16" si="40">O9</f>
        <v>Origin code</v>
      </c>
      <c r="Y9" s="1">
        <v>0</v>
      </c>
      <c r="Z9" s="66" t="str">
        <f t="shared" ref="Z9:Z16" si="41">B9</f>
        <v>QTextEdit</v>
      </c>
      <c r="AA9" s="66">
        <f>M:M</f>
        <v>0</v>
      </c>
      <c r="AB9" s="66" t="str">
        <f t="shared" ref="AB9:AB16" si="42">L9</f>
        <v>GuiStudyPro</v>
      </c>
    </row>
    <row r="10" spans="1:28" s="66" customFormat="1" ht="16.5" x14ac:dyDescent="0.15">
      <c r="A10" s="68">
        <f t="shared" si="3"/>
        <v>9</v>
      </c>
      <c r="B10" s="69" t="s">
        <v>30</v>
      </c>
      <c r="C10" s="69" t="s">
        <v>19</v>
      </c>
      <c r="D10" s="70">
        <v>0</v>
      </c>
      <c r="E10" s="70">
        <v>0</v>
      </c>
      <c r="F10" s="70">
        <v>1</v>
      </c>
      <c r="G10" s="70">
        <v>1</v>
      </c>
      <c r="H10" s="69" t="s">
        <v>19</v>
      </c>
      <c r="I10" s="69" t="s">
        <v>19</v>
      </c>
      <c r="J10" s="69" t="s">
        <v>19</v>
      </c>
      <c r="K10" s="69" t="s">
        <v>19</v>
      </c>
      <c r="L10" s="68" t="str">
        <f t="shared" si="25"/>
        <v>GuiStudyPro</v>
      </c>
      <c r="M10" s="70">
        <v>1</v>
      </c>
      <c r="N10" s="69" t="s">
        <v>19</v>
      </c>
      <c r="O10" s="69" t="s">
        <v>19</v>
      </c>
      <c r="P10" s="69" t="s">
        <v>19</v>
      </c>
      <c r="Q10" s="69" t="s">
        <v>19</v>
      </c>
      <c r="R10" s="29"/>
      <c r="S10" s="65" t="str">
        <f t="shared" si="38"/>
        <v>QSpacerItem1</v>
      </c>
      <c r="T10" s="65">
        <f>IF(COUNTIF(S:S,S10)&gt;1,0,1)</f>
        <v>1</v>
      </c>
      <c r="V10" s="66" t="str">
        <f t="shared" si="39"/>
        <v>NULL</v>
      </c>
      <c r="W10" s="66" t="str">
        <f t="shared" si="39"/>
        <v>NULL</v>
      </c>
      <c r="X10" s="66" t="str">
        <f t="shared" si="40"/>
        <v>NULL</v>
      </c>
      <c r="Y10" s="66">
        <v>13</v>
      </c>
      <c r="Z10" s="66" t="str">
        <f t="shared" si="41"/>
        <v>QSpacerItem</v>
      </c>
      <c r="AA10" s="66">
        <f>M:M</f>
        <v>1</v>
      </c>
      <c r="AB10" s="66" t="str">
        <f t="shared" si="42"/>
        <v>GuiStudyPro</v>
      </c>
    </row>
    <row r="11" spans="1:28" s="66" customFormat="1" ht="16.5" x14ac:dyDescent="0.15">
      <c r="A11" s="71">
        <f t="shared" si="3"/>
        <v>10</v>
      </c>
      <c r="B11" s="72" t="s">
        <v>131</v>
      </c>
      <c r="C11" s="72" t="s">
        <v>19</v>
      </c>
      <c r="D11" s="73">
        <v>0</v>
      </c>
      <c r="E11" s="73">
        <v>0</v>
      </c>
      <c r="F11" s="73">
        <v>1</v>
      </c>
      <c r="G11" s="73">
        <v>1</v>
      </c>
      <c r="H11" s="72" t="s">
        <v>19</v>
      </c>
      <c r="I11" s="72" t="s">
        <v>19</v>
      </c>
      <c r="J11" s="73">
        <v>0</v>
      </c>
      <c r="K11" s="73" t="s">
        <v>145</v>
      </c>
      <c r="L11" s="71" t="str">
        <f t="shared" si="25"/>
        <v>GuiStudyPro</v>
      </c>
      <c r="M11" s="73">
        <v>0</v>
      </c>
      <c r="N11" s="73">
        <v>1</v>
      </c>
      <c r="O11" s="73" t="s">
        <v>146</v>
      </c>
      <c r="P11" s="72" t="s">
        <v>19</v>
      </c>
      <c r="Q11" s="73" t="s">
        <v>147</v>
      </c>
      <c r="R11" s="30"/>
      <c r="S11" s="65" t="str">
        <f t="shared" si="38"/>
        <v>QTableWidget0</v>
      </c>
      <c r="T11" s="65">
        <f>IF(COUNTIF(S:S,S11)&gt;1,0,1)</f>
        <v>1</v>
      </c>
      <c r="V11" s="66" t="str">
        <f>H11</f>
        <v>NULL</v>
      </c>
      <c r="W11" s="66" t="str">
        <f>Q11</f>
        <v>OutputTableData</v>
      </c>
      <c r="X11" s="66" t="str">
        <f t="shared" si="40"/>
        <v>ConfigurationFolder/GUIData/TestOutputTableData.csv</v>
      </c>
      <c r="Y11" s="6" t="s">
        <v>40</v>
      </c>
      <c r="Z11" s="66" t="str">
        <f t="shared" si="41"/>
        <v>QTableWidget</v>
      </c>
      <c r="AA11" s="66">
        <f>M:M</f>
        <v>0</v>
      </c>
      <c r="AB11" s="66" t="str">
        <f t="shared" si="42"/>
        <v>GuiStudyPro</v>
      </c>
    </row>
    <row r="12" spans="1:28" s="65" customFormat="1" ht="16.5" x14ac:dyDescent="0.15">
      <c r="A12" s="74">
        <f t="shared" si="3"/>
        <v>11</v>
      </c>
      <c r="B12" s="74" t="s">
        <v>18</v>
      </c>
      <c r="C12" s="73" t="s">
        <v>97</v>
      </c>
      <c r="D12" s="73">
        <v>1</v>
      </c>
      <c r="E12" s="73">
        <v>0</v>
      </c>
      <c r="F12" s="73">
        <v>1</v>
      </c>
      <c r="G12" s="73">
        <v>1</v>
      </c>
      <c r="H12" s="74" t="s">
        <v>19</v>
      </c>
      <c r="I12" s="74" t="s">
        <v>88</v>
      </c>
      <c r="J12" s="74" t="s">
        <v>21</v>
      </c>
      <c r="K12" s="74" t="s">
        <v>19</v>
      </c>
      <c r="L12" s="71" t="str">
        <f t="shared" si="25"/>
        <v>GuiStudyPro</v>
      </c>
      <c r="M12" s="73">
        <v>1</v>
      </c>
      <c r="N12" s="74" t="s">
        <v>19</v>
      </c>
      <c r="O12" s="74" t="s">
        <v>19</v>
      </c>
      <c r="P12" s="74" t="s">
        <v>19</v>
      </c>
      <c r="Q12" s="74" t="s">
        <v>19</v>
      </c>
      <c r="R12" s="75"/>
      <c r="S12" s="65" t="str">
        <f>B12&amp;M12</f>
        <v>Qlabel1</v>
      </c>
      <c r="T12" s="65">
        <f>IF(COUNTIF(S:S,S12)&gt;1,0,1)</f>
        <v>1</v>
      </c>
      <c r="V12" s="67" t="str">
        <f t="shared" ref="V12:W16" si="43">H12</f>
        <v>NULL</v>
      </c>
      <c r="W12" s="67" t="str">
        <f t="shared" si="43"/>
        <v>AlignLeft</v>
      </c>
      <c r="X12" s="67" t="str">
        <f t="shared" si="40"/>
        <v>NULL</v>
      </c>
      <c r="Y12" s="65">
        <v>0</v>
      </c>
      <c r="Z12" s="67" t="str">
        <f t="shared" si="41"/>
        <v>Qlabel</v>
      </c>
      <c r="AA12" s="67">
        <f>M:M</f>
        <v>1</v>
      </c>
      <c r="AB12" s="67" t="str">
        <f t="shared" si="42"/>
        <v>GuiStudyPro</v>
      </c>
    </row>
    <row r="13" spans="1:28" s="1" customFormat="1" ht="16.5" x14ac:dyDescent="0.15">
      <c r="A13" s="31">
        <f t="shared" si="3"/>
        <v>12</v>
      </c>
      <c r="B13" s="31" t="s">
        <v>128</v>
      </c>
      <c r="C13" s="32" t="s">
        <v>19</v>
      </c>
      <c r="D13" s="33">
        <v>0</v>
      </c>
      <c r="E13" s="33">
        <v>0</v>
      </c>
      <c r="F13" s="33">
        <v>1</v>
      </c>
      <c r="G13" s="33">
        <v>1</v>
      </c>
      <c r="H13" s="32" t="s">
        <v>19</v>
      </c>
      <c r="I13" s="33">
        <v>0</v>
      </c>
      <c r="J13" s="32" t="s">
        <v>19</v>
      </c>
      <c r="K13" s="32" t="s">
        <v>19</v>
      </c>
      <c r="L13" s="31" t="str">
        <f t="shared" si="25"/>
        <v>GuiStudyPro</v>
      </c>
      <c r="M13" s="33">
        <f>A2</f>
        <v>1</v>
      </c>
      <c r="N13" s="33">
        <f>A8</f>
        <v>7</v>
      </c>
      <c r="O13" s="32" t="s">
        <v>19</v>
      </c>
      <c r="P13" s="32" t="s">
        <v>19</v>
      </c>
      <c r="Q13" s="32" t="s">
        <v>19</v>
      </c>
      <c r="R13" s="34"/>
      <c r="S13" s="65" t="str">
        <f>B13&amp;I13</f>
        <v>QHBoxLayout0</v>
      </c>
      <c r="T13" s="65">
        <f>IF(COUNTIF(S:S,S13)&gt;1,0,1)</f>
        <v>1</v>
      </c>
      <c r="V13" s="66" t="str">
        <f t="shared" si="43"/>
        <v>NULL</v>
      </c>
      <c r="W13" s="66">
        <f t="shared" si="43"/>
        <v>0</v>
      </c>
      <c r="X13" s="66" t="str">
        <f t="shared" si="40"/>
        <v>NULL</v>
      </c>
      <c r="Y13" s="1">
        <v>0</v>
      </c>
      <c r="Z13" s="66" t="str">
        <f t="shared" si="41"/>
        <v>QHBoxLayout</v>
      </c>
      <c r="AA13" s="66">
        <f>W13</f>
        <v>0</v>
      </c>
      <c r="AB13" s="66" t="str">
        <f t="shared" si="42"/>
        <v>GuiStudyPro</v>
      </c>
    </row>
    <row r="14" spans="1:28" s="66" customFormat="1" ht="16.5" x14ac:dyDescent="0.15">
      <c r="A14" s="31">
        <f t="shared" si="3"/>
        <v>13</v>
      </c>
      <c r="B14" s="31" t="s">
        <v>99</v>
      </c>
      <c r="C14" s="32" t="s">
        <v>19</v>
      </c>
      <c r="D14" s="33">
        <v>1</v>
      </c>
      <c r="E14" s="33">
        <v>0</v>
      </c>
      <c r="F14" s="33">
        <v>1</v>
      </c>
      <c r="G14" s="33">
        <v>3</v>
      </c>
      <c r="H14" s="32" t="s">
        <v>19</v>
      </c>
      <c r="I14" s="33">
        <v>0</v>
      </c>
      <c r="J14" s="32" t="s">
        <v>19</v>
      </c>
      <c r="K14" s="32" t="s">
        <v>19</v>
      </c>
      <c r="L14" s="31" t="str">
        <f t="shared" si="25"/>
        <v>GuiStudyPro</v>
      </c>
      <c r="M14" s="33">
        <f>A9</f>
        <v>8</v>
      </c>
      <c r="N14" s="33">
        <f>A9</f>
        <v>8</v>
      </c>
      <c r="O14" s="32" t="s">
        <v>19</v>
      </c>
      <c r="P14" s="32" t="s">
        <v>19</v>
      </c>
      <c r="Q14" s="32" t="s">
        <v>19</v>
      </c>
      <c r="R14" s="28"/>
      <c r="S14" s="65" t="str">
        <f>B14&amp;I14</f>
        <v>QGridLayout0</v>
      </c>
      <c r="T14" s="65">
        <f>IF(COUNTIF(S:S,S14)&gt;1,0,1)</f>
        <v>1</v>
      </c>
      <c r="V14" s="66" t="str">
        <f t="shared" si="43"/>
        <v>NULL</v>
      </c>
      <c r="W14" s="66">
        <f t="shared" si="43"/>
        <v>0</v>
      </c>
      <c r="X14" s="66" t="str">
        <f t="shared" si="40"/>
        <v>NULL</v>
      </c>
      <c r="Y14" s="6" t="s">
        <v>40</v>
      </c>
      <c r="Z14" s="66" t="str">
        <f t="shared" si="41"/>
        <v>QGridLayout</v>
      </c>
      <c r="AA14" s="66">
        <f>I14</f>
        <v>0</v>
      </c>
      <c r="AB14" s="66" t="str">
        <f t="shared" si="42"/>
        <v>GuiStudyPro</v>
      </c>
    </row>
    <row r="15" spans="1:28" s="1" customFormat="1" ht="16.5" x14ac:dyDescent="0.15">
      <c r="A15" s="31">
        <f t="shared" si="3"/>
        <v>14</v>
      </c>
      <c r="B15" s="31" t="s">
        <v>100</v>
      </c>
      <c r="C15" s="32" t="s">
        <v>19</v>
      </c>
      <c r="D15" s="33">
        <v>0</v>
      </c>
      <c r="E15" s="33">
        <v>0</v>
      </c>
      <c r="F15" s="33">
        <v>3</v>
      </c>
      <c r="G15" s="33">
        <v>1</v>
      </c>
      <c r="H15" s="32" t="s">
        <v>19</v>
      </c>
      <c r="I15" s="33">
        <v>1</v>
      </c>
      <c r="J15" s="32" t="s">
        <v>19</v>
      </c>
      <c r="K15" s="32" t="s">
        <v>19</v>
      </c>
      <c r="L15" s="31" t="str">
        <f t="shared" si="25"/>
        <v>GuiStudyPro</v>
      </c>
      <c r="M15" s="33">
        <f>A13</f>
        <v>12</v>
      </c>
      <c r="N15" s="33">
        <f>A14</f>
        <v>13</v>
      </c>
      <c r="O15" s="32" t="s">
        <v>19</v>
      </c>
      <c r="P15" s="32" t="s">
        <v>19</v>
      </c>
      <c r="Q15" s="32" t="s">
        <v>19</v>
      </c>
      <c r="R15" s="34"/>
      <c r="S15" s="65" t="str">
        <f>LEFT(B15,LEN(B15)-2)&amp;I15</f>
        <v>QGridLayout1</v>
      </c>
      <c r="T15" s="65">
        <f>IF(COUNTIF(S:S,S15)&gt;1,0,1)</f>
        <v>1</v>
      </c>
      <c r="V15" s="66" t="str">
        <f t="shared" si="43"/>
        <v>NULL</v>
      </c>
      <c r="W15" s="66">
        <f t="shared" si="43"/>
        <v>1</v>
      </c>
      <c r="X15" s="66" t="str">
        <f t="shared" si="40"/>
        <v>NULL</v>
      </c>
      <c r="Y15" s="1">
        <v>0</v>
      </c>
      <c r="Z15" s="66" t="str">
        <f t="shared" si="41"/>
        <v>QGridLayout_M</v>
      </c>
      <c r="AA15" s="66">
        <f>W15</f>
        <v>1</v>
      </c>
      <c r="AB15" s="66" t="str">
        <f t="shared" si="42"/>
        <v>GuiStudyPro</v>
      </c>
    </row>
    <row r="16" spans="1:28" s="66" customFormat="1" ht="16.5" x14ac:dyDescent="0.15">
      <c r="A16" s="54">
        <f t="shared" si="3"/>
        <v>15</v>
      </c>
      <c r="B16" s="54" t="s">
        <v>99</v>
      </c>
      <c r="C16" s="55" t="s">
        <v>19</v>
      </c>
      <c r="D16" s="52">
        <v>0</v>
      </c>
      <c r="E16" s="52">
        <v>0</v>
      </c>
      <c r="F16" s="52">
        <v>1</v>
      </c>
      <c r="G16" s="52">
        <v>3</v>
      </c>
      <c r="H16" s="55" t="s">
        <v>19</v>
      </c>
      <c r="I16" s="52">
        <v>2</v>
      </c>
      <c r="J16" s="55" t="s">
        <v>19</v>
      </c>
      <c r="K16" s="55" t="s">
        <v>19</v>
      </c>
      <c r="L16" s="54" t="str">
        <f t="shared" si="25"/>
        <v>GuiStudyPro</v>
      </c>
      <c r="M16" s="52">
        <f>A10</f>
        <v>9</v>
      </c>
      <c r="N16" s="52">
        <f>A10</f>
        <v>9</v>
      </c>
      <c r="O16" s="55" t="s">
        <v>19</v>
      </c>
      <c r="P16" s="55" t="s">
        <v>19</v>
      </c>
      <c r="Q16" s="55" t="s">
        <v>19</v>
      </c>
      <c r="R16" s="26"/>
      <c r="S16" s="65" t="str">
        <f>B16&amp;I16</f>
        <v>QGridLayout2</v>
      </c>
      <c r="T16" s="65">
        <f>IF(COUNTIF(S:S,S16)&gt;1,0,1)</f>
        <v>1</v>
      </c>
      <c r="V16" s="66" t="str">
        <f t="shared" si="43"/>
        <v>NULL</v>
      </c>
      <c r="W16" s="66">
        <f t="shared" si="43"/>
        <v>2</v>
      </c>
      <c r="X16" s="66" t="str">
        <f t="shared" si="40"/>
        <v>NULL</v>
      </c>
      <c r="Y16" s="6" t="s">
        <v>40</v>
      </c>
      <c r="Z16" s="66" t="str">
        <f t="shared" si="41"/>
        <v>QGridLayout</v>
      </c>
      <c r="AA16" s="66">
        <f>I16</f>
        <v>2</v>
      </c>
      <c r="AB16" s="66" t="str">
        <f t="shared" si="42"/>
        <v>GuiStudyPro</v>
      </c>
    </row>
    <row r="17" spans="1:28" s="11" customFormat="1" ht="16.5" x14ac:dyDescent="0.15">
      <c r="A17" s="54">
        <f t="shared" si="3"/>
        <v>16</v>
      </c>
      <c r="B17" s="55" t="s">
        <v>27</v>
      </c>
      <c r="C17" s="54" t="s">
        <v>150</v>
      </c>
      <c r="D17" s="52">
        <v>1</v>
      </c>
      <c r="E17" s="52">
        <v>0</v>
      </c>
      <c r="F17" s="52">
        <v>1</v>
      </c>
      <c r="G17" s="52">
        <v>1</v>
      </c>
      <c r="H17" s="55" t="s">
        <v>19</v>
      </c>
      <c r="I17" s="52">
        <f>J17+1</f>
        <v>4</v>
      </c>
      <c r="J17" s="52">
        <f>I18</f>
        <v>3</v>
      </c>
      <c r="K17" s="52" t="s">
        <v>33</v>
      </c>
      <c r="L17" s="54" t="str">
        <f t="shared" si="25"/>
        <v>GuiStudyPro</v>
      </c>
      <c r="M17" s="55" t="s">
        <v>19</v>
      </c>
      <c r="N17" s="55" t="s">
        <v>19</v>
      </c>
      <c r="O17" s="55" t="s">
        <v>19</v>
      </c>
      <c r="P17" s="52">
        <v>2</v>
      </c>
      <c r="Q17" s="52" t="s">
        <v>148</v>
      </c>
      <c r="R17" s="26"/>
      <c r="S17" s="40" t="str">
        <f>B17&amp;I17</f>
        <v>QGroupBox4</v>
      </c>
      <c r="T17" s="40">
        <f>IF(COUNTIF(S:S,S17)&gt;1,0,1)</f>
        <v>1</v>
      </c>
      <c r="V17" s="11" t="str">
        <f t="shared" ref="V17:V19" si="44">H17</f>
        <v>NULL</v>
      </c>
      <c r="W17" s="11" t="str">
        <f>Q17</f>
        <v>OutputGroup</v>
      </c>
      <c r="X17" s="11" t="str">
        <f t="shared" ref="X17:X19" si="45">O17</f>
        <v>NULL</v>
      </c>
      <c r="Y17" s="12" t="s">
        <v>40</v>
      </c>
      <c r="Z17" s="11" t="str">
        <f t="shared" ref="Z17:Z19" si="46">B17</f>
        <v>QGroupBox</v>
      </c>
      <c r="AA17" s="11">
        <f>I17</f>
        <v>4</v>
      </c>
      <c r="AB17" s="11" t="str">
        <f t="shared" ref="AB17:AB19" si="47">L17</f>
        <v>GuiStudyPro</v>
      </c>
    </row>
    <row r="18" spans="1:28" s="66" customFormat="1" ht="16.5" x14ac:dyDescent="0.15">
      <c r="A18" s="71">
        <f t="shared" si="3"/>
        <v>17</v>
      </c>
      <c r="B18" s="71" t="s">
        <v>99</v>
      </c>
      <c r="C18" s="72" t="s">
        <v>19</v>
      </c>
      <c r="D18" s="73">
        <v>0</v>
      </c>
      <c r="E18" s="73">
        <v>0</v>
      </c>
      <c r="F18" s="73">
        <v>1</v>
      </c>
      <c r="G18" s="73">
        <v>1</v>
      </c>
      <c r="H18" s="72" t="s">
        <v>19</v>
      </c>
      <c r="I18" s="73">
        <v>3</v>
      </c>
      <c r="J18" s="72" t="s">
        <v>19</v>
      </c>
      <c r="K18" s="72" t="s">
        <v>19</v>
      </c>
      <c r="L18" s="71" t="str">
        <f t="shared" si="25"/>
        <v>GuiStudyPro</v>
      </c>
      <c r="M18" s="73">
        <f>A11</f>
        <v>10</v>
      </c>
      <c r="N18" s="73">
        <f>A12</f>
        <v>11</v>
      </c>
      <c r="O18" s="72" t="s">
        <v>19</v>
      </c>
      <c r="P18" s="72" t="s">
        <v>19</v>
      </c>
      <c r="Q18" s="72" t="s">
        <v>19</v>
      </c>
      <c r="R18" s="30"/>
      <c r="S18" s="65" t="str">
        <f>B18&amp;I18</f>
        <v>QGridLayout3</v>
      </c>
      <c r="T18" s="65">
        <f>IF(COUNTIF(S:S,S18)&gt;1,0,1)</f>
        <v>1</v>
      </c>
      <c r="V18" s="66" t="str">
        <f t="shared" ref="V18" si="48">H18</f>
        <v>NULL</v>
      </c>
      <c r="W18" s="66">
        <f t="shared" ref="W18" si="49">I18</f>
        <v>3</v>
      </c>
      <c r="X18" s="66" t="str">
        <f t="shared" ref="X18" si="50">O18</f>
        <v>NULL</v>
      </c>
      <c r="Y18" s="6" t="s">
        <v>40</v>
      </c>
      <c r="Z18" s="66" t="str">
        <f t="shared" ref="Z18" si="51">B18</f>
        <v>QGridLayout</v>
      </c>
      <c r="AA18" s="66">
        <f>I18</f>
        <v>3</v>
      </c>
      <c r="AB18" s="66" t="str">
        <f t="shared" ref="AB18" si="52">L18</f>
        <v>GuiStudyPro</v>
      </c>
    </row>
    <row r="19" spans="1:28" s="1" customFormat="1" ht="16.5" x14ac:dyDescent="0.15">
      <c r="A19" s="54">
        <f t="shared" si="3"/>
        <v>18</v>
      </c>
      <c r="B19" s="54" t="s">
        <v>100</v>
      </c>
      <c r="C19" s="55" t="s">
        <v>19</v>
      </c>
      <c r="D19" s="52">
        <v>0</v>
      </c>
      <c r="E19" s="52">
        <v>1</v>
      </c>
      <c r="F19" s="52">
        <v>1</v>
      </c>
      <c r="G19" s="52">
        <v>1</v>
      </c>
      <c r="H19" s="55" t="s">
        <v>19</v>
      </c>
      <c r="I19" s="52">
        <v>4</v>
      </c>
      <c r="J19" s="55" t="s">
        <v>19</v>
      </c>
      <c r="K19" s="55" t="s">
        <v>19</v>
      </c>
      <c r="L19" s="54" t="str">
        <f t="shared" si="25"/>
        <v>GuiStudyPro</v>
      </c>
      <c r="M19" s="52">
        <f>A16</f>
        <v>15</v>
      </c>
      <c r="N19" s="52">
        <f>A17</f>
        <v>16</v>
      </c>
      <c r="O19" s="55" t="s">
        <v>19</v>
      </c>
      <c r="P19" s="55" t="s">
        <v>19</v>
      </c>
      <c r="Q19" s="55" t="s">
        <v>19</v>
      </c>
      <c r="R19" s="47"/>
      <c r="S19" s="65" t="str">
        <f>LEFT(B19,LEN(B19)-2)&amp;I19</f>
        <v>QGridLayout4</v>
      </c>
      <c r="T19" s="65">
        <f>IF(COUNTIF(S:S,S19)&gt;1,0,1)</f>
        <v>1</v>
      </c>
      <c r="V19" s="66" t="str">
        <f t="shared" si="44"/>
        <v>NULL</v>
      </c>
      <c r="W19" s="66">
        <f t="shared" ref="W19" si="53">I19</f>
        <v>4</v>
      </c>
      <c r="X19" s="66" t="str">
        <f t="shared" si="45"/>
        <v>NULL</v>
      </c>
      <c r="Y19" s="1">
        <v>0</v>
      </c>
      <c r="Z19" s="66" t="str">
        <f t="shared" si="46"/>
        <v>QGridLayout_M</v>
      </c>
      <c r="AA19" s="66">
        <f>W19</f>
        <v>4</v>
      </c>
      <c r="AB19" s="66" t="str">
        <f t="shared" si="47"/>
        <v>GuiStudyPro</v>
      </c>
    </row>
  </sheetData>
  <phoneticPr fontId="2" type="noConversion"/>
  <conditionalFormatting sqref="T1">
    <cfRule type="cellIs" dxfId="39" priority="51" operator="lessThan">
      <formula>0.5</formula>
    </cfRule>
    <cfRule type="cellIs" dxfId="38" priority="52" operator="greaterThan">
      <formula>0</formula>
    </cfRule>
  </conditionalFormatting>
  <conditionalFormatting sqref="T2">
    <cfRule type="cellIs" dxfId="37" priority="49" operator="lessThan">
      <formula>0.5</formula>
    </cfRule>
    <cfRule type="cellIs" dxfId="36" priority="50" operator="greaterThan">
      <formula>0</formula>
    </cfRule>
  </conditionalFormatting>
  <conditionalFormatting sqref="T3">
    <cfRule type="cellIs" dxfId="35" priority="47" operator="lessThan">
      <formula>0.5</formula>
    </cfRule>
    <cfRule type="cellIs" dxfId="34" priority="48" operator="greaterThan">
      <formula>0</formula>
    </cfRule>
  </conditionalFormatting>
  <conditionalFormatting sqref="T4">
    <cfRule type="cellIs" dxfId="33" priority="45" operator="lessThan">
      <formula>0.5</formula>
    </cfRule>
    <cfRule type="cellIs" dxfId="32" priority="46" operator="greaterThan">
      <formula>0</formula>
    </cfRule>
  </conditionalFormatting>
  <conditionalFormatting sqref="T5">
    <cfRule type="cellIs" dxfId="31" priority="43" operator="lessThan">
      <formula>0.5</formula>
    </cfRule>
    <cfRule type="cellIs" dxfId="30" priority="44" operator="greaterThan">
      <formula>0</formula>
    </cfRule>
  </conditionalFormatting>
  <conditionalFormatting sqref="T9">
    <cfRule type="cellIs" dxfId="27" priority="39" operator="lessThan">
      <formula>0.5</formula>
    </cfRule>
    <cfRule type="cellIs" dxfId="26" priority="40" operator="greaterThan">
      <formula>0</formula>
    </cfRule>
  </conditionalFormatting>
  <conditionalFormatting sqref="T10">
    <cfRule type="cellIs" dxfId="25" priority="37" operator="lessThan">
      <formula>0.5</formula>
    </cfRule>
    <cfRule type="cellIs" dxfId="24" priority="38" operator="greaterThan">
      <formula>0</formula>
    </cfRule>
  </conditionalFormatting>
  <conditionalFormatting sqref="T11">
    <cfRule type="cellIs" dxfId="23" priority="35" operator="lessThan">
      <formula>0.5</formula>
    </cfRule>
    <cfRule type="cellIs" dxfId="22" priority="36" operator="greaterThan">
      <formula>0</formula>
    </cfRule>
  </conditionalFormatting>
  <conditionalFormatting sqref="T12">
    <cfRule type="cellIs" dxfId="21" priority="33" operator="lessThan">
      <formula>0.5</formula>
    </cfRule>
    <cfRule type="cellIs" dxfId="20" priority="34" operator="greaterThan">
      <formula>0</formula>
    </cfRule>
  </conditionalFormatting>
  <conditionalFormatting sqref="T13">
    <cfRule type="cellIs" dxfId="19" priority="31" operator="lessThan">
      <formula>0.5</formula>
    </cfRule>
    <cfRule type="cellIs" dxfId="18" priority="32" operator="greaterThan">
      <formula>0</formula>
    </cfRule>
  </conditionalFormatting>
  <conditionalFormatting sqref="T14">
    <cfRule type="cellIs" dxfId="17" priority="29" operator="lessThan">
      <formula>0.5</formula>
    </cfRule>
    <cfRule type="cellIs" dxfId="16" priority="30" operator="greaterThan">
      <formula>0</formula>
    </cfRule>
  </conditionalFormatting>
  <conditionalFormatting sqref="T15">
    <cfRule type="cellIs" dxfId="15" priority="25" operator="lessThan">
      <formula>0.5</formula>
    </cfRule>
    <cfRule type="cellIs" dxfId="14" priority="26" operator="greaterThan">
      <formula>0</formula>
    </cfRule>
  </conditionalFormatting>
  <conditionalFormatting sqref="T16">
    <cfRule type="cellIs" dxfId="13" priority="23" operator="lessThan">
      <formula>0.5</formula>
    </cfRule>
    <cfRule type="cellIs" dxfId="12" priority="24" operator="greaterThan">
      <formula>0</formula>
    </cfRule>
  </conditionalFormatting>
  <conditionalFormatting sqref="T17">
    <cfRule type="cellIs" dxfId="11" priority="11" operator="lessThan">
      <formula>0.5</formula>
    </cfRule>
    <cfRule type="cellIs" dxfId="10" priority="12" operator="greaterThan">
      <formula>0</formula>
    </cfRule>
  </conditionalFormatting>
  <conditionalFormatting sqref="T19">
    <cfRule type="cellIs" dxfId="9" priority="9" operator="lessThan">
      <formula>0.5</formula>
    </cfRule>
    <cfRule type="cellIs" dxfId="8" priority="10" operator="greaterThan">
      <formula>0</formula>
    </cfRule>
  </conditionalFormatting>
  <conditionalFormatting sqref="T7">
    <cfRule type="cellIs" dxfId="7" priority="7" operator="lessThan">
      <formula>0.5</formula>
    </cfRule>
    <cfRule type="cellIs" dxfId="6" priority="8" operator="greaterThan">
      <formula>0</formula>
    </cfRule>
  </conditionalFormatting>
  <conditionalFormatting sqref="T18">
    <cfRule type="cellIs" dxfId="5" priority="5" operator="lessThan">
      <formula>0.5</formula>
    </cfRule>
    <cfRule type="cellIs" dxfId="4" priority="6" operator="greaterThan">
      <formula>0</formula>
    </cfRule>
  </conditionalFormatting>
  <conditionalFormatting sqref="T6">
    <cfRule type="cellIs" dxfId="3" priority="3" operator="lessThan">
      <formula>0.5</formula>
    </cfRule>
    <cfRule type="cellIs" dxfId="2" priority="4" operator="greaterThan">
      <formula>0</formula>
    </cfRule>
  </conditionalFormatting>
  <conditionalFormatting sqref="T8">
    <cfRule type="cellIs" dxfId="1" priority="1" operator="lessThan">
      <formula>0.5</formula>
    </cfRule>
    <cfRule type="cellIs" dxfId="0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I13:I19 D2:E19 M2:M12">
      <formula1>0</formula1>
      <formula2>499</formula2>
    </dataValidation>
    <dataValidation type="whole" allowBlank="1" showInputMessage="1" showErrorMessage="1" errorTitle="输入值无效" error="请输入1-100的整数" sqref="F2:G19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AllNoChange!$G$2</xm:f>
          </x14:formula1>
          <xm:sqref>H12:H19 N8:N10 O18:Q19 C7 H10:K10 O10 C10:C11 P11 H11:I11 C13:C16 K12:K13 N12:Q12 J13 J14:K16 O13:Q16 H7:K7 C18:C19 J18:K19 K8:K9 M17:O17 N7:O7 P7:Q10 J8 O2:Q6 H2:H6 J2:J6</xm:sqref>
        </x14:dataValidation>
        <x14:dataValidation type="list" allowBlank="1" showInputMessage="1" showErrorMessage="1">
          <x14:formula1>
            <xm:f>AllNoChange!$C$2:$C$5</xm:f>
          </x14:formula1>
          <xm:sqref>J12 J9</xm:sqref>
        </x14:dataValidation>
        <x14:dataValidation type="list" allowBlank="1" showInputMessage="1" showErrorMessage="1">
          <x14:formula1>
            <xm:f>AllNoChange!$B$2:$B$5</xm:f>
          </x14:formula1>
          <xm:sqref>I12 I9</xm:sqref>
        </x14:dataValidation>
        <x14:dataValidation type="list" allowBlank="1" showInputMessage="1" showErrorMessage="1">
          <x14:formula1>
            <xm:f>AllNoChange!$G$6:$G$8</xm:f>
          </x14:formula1>
          <xm:sqref>P17</xm:sqref>
        </x14:dataValidation>
        <x14:dataValidation type="list" allowBlank="1" showInputMessage="1" showErrorMessage="1">
          <x14:formula1>
            <xm:f>AllNoChange!$F$6:$F$7</xm:f>
          </x14:formula1>
          <xm:sqref>K17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Q17</xm:sqref>
        </x14:dataValidation>
        <x14:dataValidation type="list" allowBlank="1" showInputMessage="1" showErrorMessage="1">
          <x14:formula1>
            <xm:f>AllNoChange!$A$2:$A$18</xm:f>
          </x14:formula1>
          <xm:sqref>B7:B19</xm:sqref>
        </x14:dataValidation>
        <x14:dataValidation type="list" allowBlank="1" showInputMessage="1" showErrorMessage="1">
          <x14:formula1>
            <xm:f>AllNoChange!$A$2:$A$16</xm:f>
          </x14:formula1>
          <xm:sqref>B2:B6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N2:N6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2018-07-02T06:37:05Z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