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20025" yWindow="0" windowWidth="13185" windowHeight="12585" activeTab="3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BASEGUI!$A$1:$Q$19</definedName>
  </definedNames>
  <calcPr calcId="152511"/>
</workbook>
</file>

<file path=xl/calcChain.xml><?xml version="1.0" encoding="utf-8"?>
<calcChain xmlns="http://schemas.openxmlformats.org/spreadsheetml/2006/main">
  <c r="M27" i="11" l="1"/>
  <c r="J25" i="11" l="1"/>
  <c r="J24" i="11"/>
  <c r="J23" i="11"/>
  <c r="AA22" i="11"/>
  <c r="Z22" i="11"/>
  <c r="X22" i="11"/>
  <c r="W22" i="11"/>
  <c r="V22" i="11"/>
  <c r="S22" i="11"/>
  <c r="L22" i="11"/>
  <c r="AB22" i="11" s="1"/>
  <c r="A22" i="11"/>
  <c r="AA21" i="11"/>
  <c r="Z21" i="11"/>
  <c r="X21" i="11"/>
  <c r="W21" i="11"/>
  <c r="V21" i="11"/>
  <c r="S21" i="11"/>
  <c r="L21" i="11"/>
  <c r="AB21" i="11" s="1"/>
  <c r="A21" i="11"/>
  <c r="AA24" i="11"/>
  <c r="Z24" i="11"/>
  <c r="X24" i="11"/>
  <c r="W24" i="11"/>
  <c r="V24" i="11"/>
  <c r="S24" i="11"/>
  <c r="L24" i="11"/>
  <c r="AB24" i="11" s="1"/>
  <c r="A24" i="11"/>
  <c r="AA23" i="11"/>
  <c r="Z23" i="11"/>
  <c r="X23" i="11"/>
  <c r="W23" i="11"/>
  <c r="V23" i="11"/>
  <c r="S23" i="11"/>
  <c r="L23" i="11"/>
  <c r="AB23" i="11" s="1"/>
  <c r="A23" i="11"/>
  <c r="Z26" i="11"/>
  <c r="X26" i="11"/>
  <c r="W26" i="11"/>
  <c r="AA26" i="11" s="1"/>
  <c r="V26" i="11"/>
  <c r="S26" i="11"/>
  <c r="L26" i="11"/>
  <c r="AB26" i="11" s="1"/>
  <c r="A26" i="11"/>
  <c r="AA10" i="11"/>
  <c r="Z10" i="11"/>
  <c r="X10" i="11"/>
  <c r="W10" i="11"/>
  <c r="V10" i="11"/>
  <c r="S10" i="11"/>
  <c r="L10" i="11"/>
  <c r="AB10" i="11" s="1"/>
  <c r="A10" i="11"/>
  <c r="N18" i="11" s="1"/>
  <c r="AA6" i="11"/>
  <c r="Z6" i="11"/>
  <c r="X6" i="11"/>
  <c r="W6" i="11"/>
  <c r="V6" i="11"/>
  <c r="S6" i="11"/>
  <c r="L6" i="11"/>
  <c r="AB6" i="11" s="1"/>
  <c r="A6" i="11"/>
  <c r="AA15" i="11"/>
  <c r="Z15" i="11"/>
  <c r="X15" i="11"/>
  <c r="W15" i="11"/>
  <c r="V15" i="11"/>
  <c r="S15" i="11"/>
  <c r="L15" i="11"/>
  <c r="AB15" i="11" s="1"/>
  <c r="A15" i="11"/>
  <c r="N21" i="11" s="1"/>
  <c r="AA14" i="11"/>
  <c r="Z14" i="11"/>
  <c r="X14" i="11"/>
  <c r="W14" i="11"/>
  <c r="V14" i="11"/>
  <c r="S14" i="11"/>
  <c r="L14" i="11"/>
  <c r="AB14" i="11" s="1"/>
  <c r="A14" i="11"/>
  <c r="M21" i="11" s="1"/>
  <c r="AA13" i="11"/>
  <c r="Z13" i="11"/>
  <c r="X13" i="11"/>
  <c r="W13" i="11"/>
  <c r="V13" i="11"/>
  <c r="S13" i="11"/>
  <c r="L13" i="11"/>
  <c r="AB13" i="11" s="1"/>
  <c r="A13" i="11"/>
  <c r="N20" i="11" s="1"/>
  <c r="AA12" i="11"/>
  <c r="Z12" i="11"/>
  <c r="X12" i="11"/>
  <c r="W12" i="11"/>
  <c r="V12" i="11"/>
  <c r="S12" i="11"/>
  <c r="L12" i="11"/>
  <c r="AB12" i="11" s="1"/>
  <c r="A12" i="11"/>
  <c r="M20" i="11" s="1"/>
  <c r="J18" i="10" l="1"/>
  <c r="Z18" i="10" l="1"/>
  <c r="X18" i="10"/>
  <c r="W18" i="10"/>
  <c r="V18" i="10"/>
  <c r="L18" i="10"/>
  <c r="AB18" i="10" s="1"/>
  <c r="A18" i="10"/>
  <c r="AA18" i="10" l="1"/>
  <c r="S18" i="10"/>
  <c r="T18" i="10" s="1"/>
  <c r="AA9" i="11"/>
  <c r="Z9" i="11"/>
  <c r="W9" i="11"/>
  <c r="V9" i="11"/>
  <c r="S9" i="11"/>
  <c r="X9" i="11"/>
  <c r="L9" i="11"/>
  <c r="AB9" i="11" s="1"/>
  <c r="A9" i="11"/>
  <c r="AA7" i="11" l="1"/>
  <c r="Z7" i="11"/>
  <c r="X7" i="11"/>
  <c r="W7" i="11"/>
  <c r="V7" i="11"/>
  <c r="S7" i="11"/>
  <c r="L7" i="11"/>
  <c r="AB7" i="11" s="1"/>
  <c r="A7" i="11"/>
  <c r="A8" i="11"/>
  <c r="L8" i="11"/>
  <c r="AB8" i="11" s="1"/>
  <c r="S8" i="11"/>
  <c r="V8" i="11"/>
  <c r="W8" i="11"/>
  <c r="X8" i="11"/>
  <c r="Z8" i="11"/>
  <c r="AA8" i="11"/>
  <c r="AB17" i="10" l="1"/>
  <c r="AA17" i="10"/>
  <c r="Z17" i="10"/>
  <c r="X17" i="10"/>
  <c r="W17" i="10"/>
  <c r="V17" i="10"/>
  <c r="S17" i="10"/>
  <c r="A17" i="10"/>
  <c r="I25" i="11" l="1"/>
  <c r="Z27" i="11"/>
  <c r="X27" i="11"/>
  <c r="W27" i="11"/>
  <c r="AA27" i="11" s="1"/>
  <c r="V27" i="11"/>
  <c r="S27" i="11"/>
  <c r="L27" i="11"/>
  <c r="AB27" i="11" s="1"/>
  <c r="A27" i="11"/>
  <c r="Z25" i="11"/>
  <c r="X25" i="11"/>
  <c r="W25" i="11"/>
  <c r="V25" i="11"/>
  <c r="L25" i="11"/>
  <c r="AB25" i="11" s="1"/>
  <c r="A25" i="11"/>
  <c r="AA20" i="11"/>
  <c r="Z20" i="11"/>
  <c r="X20" i="11"/>
  <c r="W20" i="11"/>
  <c r="V20" i="11"/>
  <c r="S20" i="11"/>
  <c r="L20" i="11"/>
  <c r="AB20" i="11" s="1"/>
  <c r="A20" i="11"/>
  <c r="S12" i="10"/>
  <c r="AA19" i="11"/>
  <c r="Z19" i="11"/>
  <c r="X19" i="11"/>
  <c r="W19" i="11"/>
  <c r="V19" i="11"/>
  <c r="S19" i="11"/>
  <c r="L19" i="11"/>
  <c r="AB19" i="11" s="1"/>
  <c r="A19" i="11"/>
  <c r="N26" i="11" s="1"/>
  <c r="Z18" i="11"/>
  <c r="X18" i="11"/>
  <c r="W18" i="11"/>
  <c r="AA18" i="11" s="1"/>
  <c r="V18" i="11"/>
  <c r="S18" i="11"/>
  <c r="L18" i="11"/>
  <c r="AB18" i="11" s="1"/>
  <c r="A18" i="11"/>
  <c r="M26" i="11" s="1"/>
  <c r="L17" i="11"/>
  <c r="AB17" i="11" s="1"/>
  <c r="L11" i="11"/>
  <c r="AB11" i="11" s="1"/>
  <c r="L5" i="11"/>
  <c r="AB5" i="11" s="1"/>
  <c r="L4" i="11"/>
  <c r="AB4" i="11" s="1"/>
  <c r="L3" i="11"/>
  <c r="AB3" i="11" s="1"/>
  <c r="AA17" i="11"/>
  <c r="Z17" i="11"/>
  <c r="X17" i="11"/>
  <c r="W17" i="11"/>
  <c r="V17" i="11"/>
  <c r="S17" i="11"/>
  <c r="A17" i="11"/>
  <c r="N22" i="11" s="1"/>
  <c r="AA16" i="11"/>
  <c r="Z16" i="11"/>
  <c r="X16" i="11"/>
  <c r="W16" i="11"/>
  <c r="V16" i="11"/>
  <c r="S16" i="11"/>
  <c r="L16" i="11"/>
  <c r="AB16" i="11" s="1"/>
  <c r="A16" i="11"/>
  <c r="M22" i="11" s="1"/>
  <c r="AA11" i="11"/>
  <c r="Z11" i="11"/>
  <c r="W11" i="11"/>
  <c r="V11" i="11"/>
  <c r="S11" i="11"/>
  <c r="X11" i="11"/>
  <c r="A11" i="11"/>
  <c r="N19" i="11" s="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18" i="11" s="1"/>
  <c r="AA1" i="11"/>
  <c r="Z1" i="11"/>
  <c r="X1" i="11"/>
  <c r="W1" i="11"/>
  <c r="V1" i="11"/>
  <c r="N27" i="11" l="1"/>
  <c r="M19" i="11"/>
  <c r="AA25" i="11"/>
  <c r="S25" i="11"/>
  <c r="T10" i="11" s="1"/>
  <c r="AA1" i="7"/>
  <c r="Z1" i="7"/>
  <c r="X1" i="7"/>
  <c r="W1" i="7"/>
  <c r="V1" i="7"/>
  <c r="T22" i="11" l="1"/>
  <c r="T8" i="11"/>
  <c r="T21" i="11"/>
  <c r="T9" i="11"/>
  <c r="T27" i="11"/>
  <c r="T6" i="11"/>
  <c r="T23" i="11"/>
  <c r="T15" i="11"/>
  <c r="T24" i="11"/>
  <c r="T7" i="11"/>
  <c r="T13" i="11"/>
  <c r="T26" i="11"/>
  <c r="T12" i="11"/>
  <c r="T14" i="11"/>
  <c r="T25" i="1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T17" i="10" s="1"/>
  <c r="S4" i="10"/>
  <c r="S5" i="10"/>
  <c r="S6" i="10"/>
  <c r="S7" i="10"/>
  <c r="S8" i="10"/>
  <c r="S14" i="10"/>
  <c r="S15" i="10"/>
  <c r="S16" i="10"/>
  <c r="S19" i="10"/>
  <c r="S2" i="10"/>
  <c r="T3" i="11" l="1"/>
  <c r="T2" i="11"/>
  <c r="T20" i="11"/>
  <c r="T17" i="11"/>
  <c r="T5" i="11"/>
  <c r="T18" i="11"/>
  <c r="T4" i="11"/>
  <c r="T11" i="11"/>
  <c r="T16" i="11"/>
  <c r="T19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9" i="10"/>
  <c r="L20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9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9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<sst xmlns="http://schemas.openxmlformats.org/spreadsheetml/2006/main" count="981" uniqueCount="172">
  <si>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</si>
  <si>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</si>
  <si>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</si>
  <si>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</si>
  <si>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</si>
  <si>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</si>
  <si>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</si>
  <si>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</si>
  <si>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</si>
  <si>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</si>
  <si>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</si>
  <si>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</si>
  <si>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</si>
  <si>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</si>
  <si>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</si>
  <si>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</si>
  <si>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</si>
  <si>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</si>
  <si>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</si>
  <si>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</si>
  <si>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</si>
  <si>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</si>
  <si>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</si>
  <si>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</si>
  <si>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</si>
  <si>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</si>
  <si>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</si>
  <si>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</si>
  <si>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</si>
  <si>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</si>
  <si>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</si>
  <si>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</si>
  <si>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</si>
  <si>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</si>
  <si>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</si>
  <si>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</si>
  <si>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</si>
  <si>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</si>
  <si>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</si>
  <si>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</si>
  <si>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</si>
  <si>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</si>
  <si>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</si>
  <si>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</si>
  <si>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</si>
  <si>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</si>
  <si>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</si>
  <si>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</si>
  <si>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</si>
  <si>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</si>
  <si>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</si>
  <si>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</si>
  <si>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</si>
  <si>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</si>
  <si>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</si>
  <si>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</si>
  <si>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</si>
  <si>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</si>
  <si>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</si>
  <si>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</si>
  <si>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</si>
  <si>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</si>
  <si>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</si>
  <si>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</si>
  <si>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</si>
  <si>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</si>
  <si>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</si>
  <si>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</si>
  <si>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</si>
  <si>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</si>
  <si>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</si>
  <si>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</si>
  <si>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</si>
  <si>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</si>
  <si>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</si>
  <si>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</si>
  <si>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</si>
  <si>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</si>
  <si>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</si>
  <si>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</si>
  <si>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</si>
  <si>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</si>
  <si>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</si>
  <si>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</si>
  <si>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</si>
  <si>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</si>
  <si>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</si>
  <si>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</si>
  <si>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</si>
  <si>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</si>
  <si>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</si>
  <si>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</si>
  <si>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</si>
  <si>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</si>
  <si>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</si>
  <si>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</si>
  <si>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</si>
  <si>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</si>
  <si>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</si>
  <si>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</si>
  <si>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</si>
  <si>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</si>
  <si>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</si>
  <si>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</si>
  <si>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</si>
  <si>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</si>
  <si>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</si>
  <si>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</si>
  <si>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</si>
  <si>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</si>
  <si>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</si>
  <si>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</si>
  <si>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</si>
  <si>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</si>
  <si>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</si>
  <si>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</si>
  <si>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</si>
  <si>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</si>
  <si>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</si>
  <si>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</si>
  <si>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</si>
  <si>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</si>
  <si>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</si>
  <si>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</si>
  <si>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</si>
  <si>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</si>
  <si>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</si>
  <si>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</si>
  <si>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</si>
  <si>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</si>
  <si>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</si>
  <si>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</si>
  <si>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</si>
  <si>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</si>
  <si>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</si>
  <si>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</si>
  <si>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</si>
  <si>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</si>
  <si>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</si>
  <si>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</si>
  <si>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</si>
  <si>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</si>
  <si>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</si>
  <si>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</si>
  <si>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</si>
  <si>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</si>
  <si>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</si>
  <si>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</si>
  <si>
    <t>StudyCode</t>
    <phoneticPr fontId="2" type="noConversion"/>
  </si>
  <si>
    <t>Origin code</t>
    <phoneticPr fontId="2" type="noConversion"/>
  </si>
  <si>
    <t>Code file</t>
    <phoneticPr fontId="2" type="noConversion"/>
  </si>
  <si>
    <t>ConfigurationFolder/GUIData/CodeText.csv</t>
    <phoneticPr fontId="2" type="noConversion"/>
  </si>
  <si>
    <t>QTextEdit</t>
    <phoneticPr fontId="2" type="noConversion"/>
  </si>
  <si>
    <t>QTabWidget</t>
    <phoneticPr fontId="2" type="noConversion"/>
  </si>
  <si>
    <t>QTabWidget</t>
  </si>
  <si>
    <t>tab1</t>
    <phoneticPr fontId="3" type="noConversion"/>
  </si>
  <si>
    <t>ConfigurationFolder\images\open_old.png</t>
    <phoneticPr fontId="2" type="noConversion"/>
  </si>
  <si>
    <t>TabCheck</t>
    <phoneticPr fontId="2" type="noConversion"/>
  </si>
  <si>
    <t>Clear</t>
    <phoneticPr fontId="2" type="noConversion"/>
  </si>
  <si>
    <t>ConfigurationFolder/images/blue_open.png</t>
  </si>
  <si>
    <t>ConfigurationFolder/images/blue_save.png</t>
  </si>
  <si>
    <t>ConfigurationFolder/images/blue_edit.png</t>
  </si>
  <si>
    <t>ConfigurationFolder/images/blue_yes.png</t>
  </si>
  <si>
    <t>ConfigurationFolder/images/blue_no.png</t>
  </si>
  <si>
    <t>ConfigurationFolder/images/blue_atta.png</t>
  </si>
  <si>
    <t>ConfigurationFolder/images/blue_ser.png</t>
  </si>
  <si>
    <t>search</t>
    <phoneticPr fontId="2" type="noConversion"/>
  </si>
  <si>
    <t>tab2</t>
    <phoneticPr fontId="3" type="noConversion"/>
  </si>
  <si>
    <t>tab1_testButton1</t>
    <phoneticPr fontId="2" type="noConversion"/>
  </si>
  <si>
    <t>tab1_testButton2</t>
    <phoneticPr fontId="2" type="noConversion"/>
  </si>
  <si>
    <t>tab2_testButton1</t>
    <phoneticPr fontId="2" type="noConversion"/>
  </si>
  <si>
    <t>tab2_testButton2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</si>
</sst>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70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26</xdr:row>
      <xdr:rowOff>99391</xdr:rowOff>
    </xdr:from>
    <xdr:to>
      <xdr:col>8</xdr:col>
      <xdr:colOff>359040</xdr:colOff>
      <xdr:row>29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26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25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26</xdr:row>
      <xdr:rowOff>107674</xdr:rowOff>
    </xdr:from>
    <xdr:to>
      <xdr:col>10</xdr:col>
      <xdr:colOff>2278554</xdr:colOff>
      <xdr:row>31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25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8" sqref="A18:XFD18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8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9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 t="shared" ref="T2:T19" si="5"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6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9" si="7">B3&amp;M3</f>
        <v>QLineEdit0</v>
      </c>
      <c r="T3" s="40">
        <f t="shared" si="5"/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6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20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QPushButton0</v>
      </c>
      <c r="T4" s="40">
        <f t="shared" si="5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6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7"/>
        <v>QComboBox0</v>
      </c>
      <c r="T5" s="40">
        <f t="shared" si="5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6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7"/>
        <v>QSpacerItem0</v>
      </c>
      <c r="T6" s="40">
        <f t="shared" si="5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6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7"/>
        <v>QTableWidget0</v>
      </c>
      <c r="T7" s="40">
        <f t="shared" si="5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6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7"/>
        <v>QRadioButton0</v>
      </c>
      <c r="T8" s="40">
        <f t="shared" si="5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si="3"/>
        <v>0</v>
      </c>
      <c r="AB8" s="11" t="str">
        <f t="shared" si="6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5"/>
        <v>1</v>
      </c>
      <c r="V9" s="11" t="str">
        <f t="shared" ref="V9:W13" si="9">H9</f>
        <v>NULL</v>
      </c>
      <c r="W9" s="11">
        <f t="shared" si="9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6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0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5"/>
        <v>1</v>
      </c>
      <c r="V10" s="11" t="str">
        <f t="shared" si="9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6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5"/>
        <v>1</v>
      </c>
      <c r="V11" s="11" t="str">
        <f t="shared" si="9"/>
        <v>NULL</v>
      </c>
      <c r="W11" s="11">
        <f t="shared" si="9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6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5"/>
        <v>1</v>
      </c>
      <c r="V12" s="11" t="str">
        <f t="shared" si="9"/>
        <v>NULL</v>
      </c>
      <c r="W12" s="11">
        <f t="shared" si="9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6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1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5"/>
        <v>1</v>
      </c>
      <c r="V13" s="11" t="str">
        <f t="shared" si="9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6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7"/>
        <v>UserDefined1</v>
      </c>
      <c r="T14" s="20">
        <f t="shared" si="5"/>
        <v>1</v>
      </c>
      <c r="V14" s="23" t="str">
        <f t="shared" ref="V14:W18" si="12">H14</f>
        <v>PathFile</v>
      </c>
      <c r="W14" s="23">
        <f t="shared" si="12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6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7"/>
        <v>UserDefined0</v>
      </c>
      <c r="T15" s="20">
        <f t="shared" si="5"/>
        <v>1</v>
      </c>
      <c r="V15" s="11" t="str">
        <f t="shared" si="12"/>
        <v>PathFile</v>
      </c>
      <c r="W15" s="11">
        <f t="shared" si="12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6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7"/>
        <v>Qlabel0</v>
      </c>
      <c r="T16" s="20">
        <f t="shared" si="5"/>
        <v>1</v>
      </c>
      <c r="V16" s="23" t="str">
        <f t="shared" si="12"/>
        <v>Picture</v>
      </c>
      <c r="W16" s="23" t="str">
        <f t="shared" si="12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6"/>
        <v>GuiF</v>
      </c>
    </row>
    <row r="17" spans="1:28" s="40" customFormat="1" ht="16.5" x14ac:dyDescent="0.15">
      <c r="A17" s="51">
        <f t="shared" si="4"/>
        <v>16</v>
      </c>
      <c r="B17" s="51" t="s">
        <v>133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 t="shared" si="5"/>
        <v>1</v>
      </c>
      <c r="V17" s="41" t="str">
        <f t="shared" si="12"/>
        <v>NULL</v>
      </c>
      <c r="W17" s="41" t="str">
        <f t="shared" si="12"/>
        <v>AlignLeft</v>
      </c>
      <c r="X17" s="41" t="str">
        <f t="shared" ref="X17:X18" si="13">O17</f>
        <v>NULL</v>
      </c>
      <c r="Y17" s="40">
        <v>0</v>
      </c>
      <c r="Z17" s="41" t="str">
        <f t="shared" ref="Z17:Z18" si="14">B17</f>
        <v>QTextEdit</v>
      </c>
      <c r="AA17" s="41">
        <f>M:M</f>
        <v>1</v>
      </c>
      <c r="AB17" s="41" t="str">
        <f t="shared" ref="AB17:AB18" si="15">L17</f>
        <v>GuiF</v>
      </c>
    </row>
    <row r="18" spans="1:28" s="11" customFormat="1" ht="16.5" x14ac:dyDescent="0.15">
      <c r="A18" s="15">
        <f t="shared" si="4"/>
        <v>17</v>
      </c>
      <c r="B18" s="15" t="s">
        <v>154</v>
      </c>
      <c r="C18" s="15" t="s">
        <v>155</v>
      </c>
      <c r="D18" s="17">
        <v>0</v>
      </c>
      <c r="E18" s="17">
        <v>0</v>
      </c>
      <c r="F18" s="17">
        <v>1</v>
      </c>
      <c r="G18" s="17">
        <v>1</v>
      </c>
      <c r="H18" s="16" t="s">
        <v>19</v>
      </c>
      <c r="I18" s="17">
        <v>0</v>
      </c>
      <c r="J18" s="17">
        <f>I9</f>
        <v>1</v>
      </c>
      <c r="K18" s="17" t="s">
        <v>33</v>
      </c>
      <c r="L18" s="15" t="str">
        <f t="shared" si="8"/>
        <v>GuiF</v>
      </c>
      <c r="M18" s="15" t="s">
        <v>156</v>
      </c>
      <c r="N18" s="16" t="s">
        <v>19</v>
      </c>
      <c r="O18" s="16" t="s">
        <v>19</v>
      </c>
      <c r="P18" s="17">
        <v>0</v>
      </c>
      <c r="Q18" s="17" t="s">
        <v>157</v>
      </c>
      <c r="S18" s="40" t="str">
        <f>B18&amp;I18</f>
        <v>QTabWidget0</v>
      </c>
      <c r="T18" s="40">
        <f t="shared" si="5"/>
        <v>1</v>
      </c>
      <c r="V18" s="11" t="str">
        <f t="shared" si="12"/>
        <v>NULL</v>
      </c>
      <c r="W18" s="11" t="str">
        <f>Q18</f>
        <v>TabCheck</v>
      </c>
      <c r="X18" s="11" t="str">
        <f t="shared" si="13"/>
        <v>NULL</v>
      </c>
      <c r="Y18" s="12" t="s">
        <v>40</v>
      </c>
      <c r="Z18" s="11" t="str">
        <f t="shared" si="14"/>
        <v>QTabWidget</v>
      </c>
      <c r="AA18" s="11">
        <f>I18</f>
        <v>0</v>
      </c>
      <c r="AB18" s="11" t="str">
        <f t="shared" si="15"/>
        <v>GuiF</v>
      </c>
    </row>
    <row r="19" spans="1:28" s="11" customFormat="1" x14ac:dyDescent="0.15">
      <c r="A19" s="15">
        <f t="shared" si="4"/>
        <v>18</v>
      </c>
      <c r="B19" s="16">
        <v>1</v>
      </c>
      <c r="C19" s="16">
        <v>2</v>
      </c>
      <c r="D19" s="16">
        <v>3</v>
      </c>
      <c r="E19" s="16">
        <v>4</v>
      </c>
      <c r="F19" s="16">
        <v>5</v>
      </c>
      <c r="G19" s="16">
        <v>6</v>
      </c>
      <c r="H19" s="16">
        <v>7</v>
      </c>
      <c r="I19" s="16">
        <v>8</v>
      </c>
      <c r="J19" s="16">
        <v>9</v>
      </c>
      <c r="K19" s="16">
        <v>10</v>
      </c>
      <c r="L19" s="15" t="str">
        <f t="shared" si="8"/>
        <v>GuiF</v>
      </c>
      <c r="M19" s="16">
        <v>12</v>
      </c>
      <c r="N19" s="16">
        <v>13</v>
      </c>
      <c r="O19" s="16">
        <v>14</v>
      </c>
      <c r="P19" s="16">
        <v>15</v>
      </c>
      <c r="Q19" s="16">
        <v>16</v>
      </c>
      <c r="S19" s="20" t="str">
        <f t="shared" si="7"/>
        <v>112</v>
      </c>
      <c r="T19" s="20">
        <f t="shared" si="5"/>
        <v>1</v>
      </c>
    </row>
    <row r="20" spans="1:28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5" t="str">
        <f t="shared" si="8"/>
        <v>GuiF</v>
      </c>
      <c r="M20" s="18"/>
      <c r="N20" s="18"/>
      <c r="O20" s="18"/>
      <c r="P20" s="18"/>
      <c r="Q20" s="18"/>
    </row>
    <row r="21" spans="1:28" x14ac:dyDescent="0.15">
      <c r="C21" s="4" t="s">
        <v>119</v>
      </c>
    </row>
    <row r="22" spans="1:28" x14ac:dyDescent="0.15">
      <c r="R22" s="4" t="s">
        <v>129</v>
      </c>
    </row>
    <row r="23" spans="1:28" ht="16.5" x14ac:dyDescent="0.15">
      <c r="Q23" s="14"/>
      <c r="R23" s="26">
        <v>1</v>
      </c>
      <c r="S23" s="26">
        <v>10</v>
      </c>
    </row>
    <row r="24" spans="1:28" x14ac:dyDescent="0.15">
      <c r="R24" s="27">
        <v>2</v>
      </c>
      <c r="S24" s="27">
        <v>11</v>
      </c>
    </row>
    <row r="25" spans="1:28" x14ac:dyDescent="0.15">
      <c r="R25" s="28">
        <v>3</v>
      </c>
      <c r="S25" s="28">
        <v>12</v>
      </c>
    </row>
    <row r="26" spans="1:28" x14ac:dyDescent="0.15">
      <c r="E26" t="s">
        <v>111</v>
      </c>
      <c r="J26" t="s">
        <v>113</v>
      </c>
      <c r="R26" s="29">
        <v>4</v>
      </c>
      <c r="S26" s="29">
        <v>13</v>
      </c>
    </row>
    <row r="27" spans="1:28" x14ac:dyDescent="0.15">
      <c r="A27" s="4" t="s">
        <v>108</v>
      </c>
      <c r="B27" s="4" t="s">
        <v>109</v>
      </c>
      <c r="R27" s="30">
        <v>5</v>
      </c>
      <c r="S27" s="30">
        <v>14</v>
      </c>
    </row>
    <row r="28" spans="1:28" x14ac:dyDescent="0.15">
      <c r="R28" s="11">
        <v>6</v>
      </c>
      <c r="S28" s="11">
        <v>15</v>
      </c>
    </row>
    <row r="29" spans="1:28" x14ac:dyDescent="0.15">
      <c r="R29" s="11">
        <v>7</v>
      </c>
      <c r="S29" s="11">
        <v>16</v>
      </c>
    </row>
    <row r="30" spans="1:28" x14ac:dyDescent="0.15">
      <c r="R30" s="11">
        <v>8</v>
      </c>
      <c r="S30" s="11">
        <v>17</v>
      </c>
    </row>
    <row r="31" spans="1:28" x14ac:dyDescent="0.15">
      <c r="R31" s="11"/>
      <c r="S31" s="11"/>
    </row>
    <row r="32" spans="1:28" ht="16.5" x14ac:dyDescent="0.15">
      <c r="O32" s="14"/>
      <c r="R32" s="11"/>
      <c r="S32" s="11"/>
    </row>
    <row r="33" spans="18:19" x14ac:dyDescent="0.15">
      <c r="R33" s="11"/>
      <c r="S33" s="11"/>
    </row>
    <row r="34" spans="18:19" x14ac:dyDescent="0.15">
      <c r="R34" s="11"/>
      <c r="S34" s="11"/>
    </row>
  </sheetData>
  <dataConsolidate/>
  <phoneticPr fontId="2" type="noConversion"/>
  <conditionalFormatting sqref="T1:T16 T19:T1048576">
    <cfRule type="cellIs" dxfId="69" priority="5" operator="lessThan">
      <formula>0.5</formula>
    </cfRule>
    <cfRule type="cellIs" dxfId="68" priority="6" operator="greaterThan">
      <formula>0</formula>
    </cfRule>
  </conditionalFormatting>
  <conditionalFormatting sqref="T17">
    <cfRule type="cellIs" dxfId="67" priority="3" operator="lessThan">
      <formula>0.5</formula>
    </cfRule>
    <cfRule type="cellIs" dxfId="66" priority="4" operator="greaterThan">
      <formula>0</formula>
    </cfRule>
  </conditionalFormatting>
  <conditionalFormatting sqref="T18">
    <cfRule type="cellIs" dxfId="65" priority="1" operator="lessThan">
      <formula>0.5</formula>
    </cfRule>
    <cfRule type="cellIs" dxfId="64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D16:E18 M2:M8 M14:M17 I18">
      <formula1>0</formula1>
      <formula2>499</formula2>
    </dataValidation>
    <dataValidation type="whole" allowBlank="1" showInputMessage="1" showErrorMessage="1" errorTitle="输入值无效" error="请输入1-100的整数" sqref="F2:G13 F16:G18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N17:Q17 H17:H18 N18:O18</xm:sqref>
        </x14:dataValidation>
        <x14:dataValidation type="list" allowBlank="1" showInputMessage="1" showErrorMessage="1">
          <x14:formula1>
            <xm:f>AllNoChange!$F$6:$F$7</xm:f>
          </x14:formula1>
          <xm:sqref>K10 K18</xm:sqref>
        </x14:dataValidation>
        <x14:dataValidation type="list" allowBlank="1" showInputMessage="1" showErrorMessage="1">
          <x14:formula1>
            <xm:f>AllNoChange!$G$6:$G$8</xm:f>
          </x14:formula1>
          <xm:sqref>P10 P18</xm:sqref>
        </x14:dataValidation>
        <x14:dataValidation type="list" allowBlank="1" showInputMessage="1" showErrorMessage="1">
          <x14:formula1>
            <xm:f>AllNoChange!$A$2:$A$22</xm:f>
          </x14:formula1>
          <xm:sqref>B3:B18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 Q18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  <x14:dataValidation type="list" errorStyle="warning" allowBlank="1" showInputMessage="1" showErrorMessage="1">
          <x14:formula1>
            <xm:f>AllNoChange!$G$2</xm:f>
          </x14:formula1>
          <xm:sqref>K17 M18</xm:sqref>
        </x14:dataValidation>
        <x14:dataValidation type="list" allowBlank="1" showInputMessage="1" showErrorMessage="1">
          <x14:formula1>
            <xm:f>AllNoChange!$A$2:$A$22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9" sqref="A19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146</v>
      </c>
    </row>
    <row r="13" spans="1:7" x14ac:dyDescent="0.15">
      <c r="A13" s="8" t="s">
        <v>147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134</v>
      </c>
      <c r="B18">
        <v>10</v>
      </c>
    </row>
    <row r="19" spans="1:2" x14ac:dyDescent="0.15">
      <c r="A19" s="4" t="s">
        <v>153</v>
      </c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63" priority="3" operator="lessThan">
      <formula>0.5</formula>
    </cfRule>
    <cfRule type="cellIs" dxfId="62" priority="4" operator="greaterThan">
      <formula>0</formula>
    </cfRule>
  </conditionalFormatting>
  <conditionalFormatting sqref="T1">
    <cfRule type="cellIs" dxfId="61" priority="1" operator="lessThan">
      <formula>0.5</formula>
    </cfRule>
    <cfRule type="cellIs" dxfId="6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27"/>
  <sheetViews>
    <sheetView tabSelected="1" zoomScaleNormal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K21" sqref="K21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27" si="3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159</v>
      </c>
      <c r="L2" s="54" t="s">
        <v>132</v>
      </c>
      <c r="M2" s="52">
        <v>0</v>
      </c>
      <c r="N2" s="54" t="s">
        <v>144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4">B2&amp;M2</f>
        <v>QPushButton0</v>
      </c>
      <c r="T2" s="65">
        <f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>M:M</f>
        <v>0</v>
      </c>
      <c r="AB2" s="66" t="str">
        <f t="shared" ref="AB2" si="5">L2</f>
        <v>GuiStudyPro</v>
      </c>
    </row>
    <row r="3" spans="1:28" s="1" customFormat="1" ht="16.5" x14ac:dyDescent="0.15">
      <c r="A3" s="54">
        <f t="shared" si="3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160</v>
      </c>
      <c r="L3" s="54" t="str">
        <f t="shared" ref="L3:L6" si="6">$L$2</f>
        <v>GuiStudyPro</v>
      </c>
      <c r="M3" s="52">
        <v>1</v>
      </c>
      <c r="N3" s="54" t="s">
        <v>136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7">B3&amp;M3</f>
        <v>QPushButton1</v>
      </c>
      <c r="T3" s="65">
        <f>IF(COUNTIF(S:S,S3)&gt;1,0,1)</f>
        <v>1</v>
      </c>
      <c r="V3" s="66" t="str">
        <f t="shared" ref="V3" si="8">H3</f>
        <v>NULL</v>
      </c>
      <c r="W3" s="66" t="str">
        <f t="shared" ref="W3" si="9">I3</f>
        <v>NULL</v>
      </c>
      <c r="X3" s="66" t="str">
        <f t="shared" ref="X3" si="10">O3</f>
        <v>NULL</v>
      </c>
      <c r="Y3" s="1">
        <v>0</v>
      </c>
      <c r="Z3" s="66" t="str">
        <f t="shared" ref="Z3" si="11">B3</f>
        <v>QPushButton</v>
      </c>
      <c r="AA3" s="66">
        <f>M:M</f>
        <v>1</v>
      </c>
      <c r="AB3" s="66" t="str">
        <f t="shared" ref="AB3" si="12">L3</f>
        <v>GuiStudyPro</v>
      </c>
    </row>
    <row r="4" spans="1:28" s="1" customFormat="1" ht="16.5" x14ac:dyDescent="0.15">
      <c r="A4" s="54">
        <f t="shared" si="3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161</v>
      </c>
      <c r="L4" s="54" t="str">
        <f t="shared" si="6"/>
        <v>GuiStudyPro</v>
      </c>
      <c r="M4" s="52">
        <v>2</v>
      </c>
      <c r="N4" s="54" t="s">
        <v>137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3">B4&amp;M4</f>
        <v>QPushButton2</v>
      </c>
      <c r="T4" s="65">
        <f>IF(COUNTIF(S:S,S4)&gt;1,0,1)</f>
        <v>1</v>
      </c>
      <c r="V4" s="66" t="str">
        <f t="shared" ref="V4" si="14">H4</f>
        <v>NULL</v>
      </c>
      <c r="W4" s="66" t="str">
        <f t="shared" ref="W4" si="15">I4</f>
        <v>NULL</v>
      </c>
      <c r="X4" s="66" t="str">
        <f t="shared" ref="X4" si="16">O4</f>
        <v>NULL</v>
      </c>
      <c r="Y4" s="1">
        <v>0</v>
      </c>
      <c r="Z4" s="66" t="str">
        <f t="shared" ref="Z4" si="17">B4</f>
        <v>QPushButton</v>
      </c>
      <c r="AA4" s="66">
        <f>M:M</f>
        <v>2</v>
      </c>
      <c r="AB4" s="66" t="str">
        <f t="shared" ref="AB4" si="18">L4</f>
        <v>GuiStudyPro</v>
      </c>
    </row>
    <row r="5" spans="1:28" s="1" customFormat="1" ht="16.5" x14ac:dyDescent="0.15">
      <c r="A5" s="54">
        <f t="shared" si="3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162</v>
      </c>
      <c r="L5" s="54" t="str">
        <f t="shared" si="6"/>
        <v>GuiStudyPro</v>
      </c>
      <c r="M5" s="52">
        <v>3</v>
      </c>
      <c r="N5" s="54" t="s">
        <v>138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19">B5&amp;M5</f>
        <v>QPushButton3</v>
      </c>
      <c r="T5" s="65">
        <f>IF(COUNTIF(S:S,S5)&gt;1,0,1)</f>
        <v>1</v>
      </c>
      <c r="V5" s="66" t="str">
        <f t="shared" ref="V5" si="20">H5</f>
        <v>NULL</v>
      </c>
      <c r="W5" s="66" t="str">
        <f t="shared" ref="W5" si="21">I5</f>
        <v>NULL</v>
      </c>
      <c r="X5" s="66" t="str">
        <f t="shared" ref="X5" si="22">O5</f>
        <v>NULL</v>
      </c>
      <c r="Y5" s="1">
        <v>0</v>
      </c>
      <c r="Z5" s="66" t="str">
        <f t="shared" ref="Z5" si="23">B5</f>
        <v>QPushButton</v>
      </c>
      <c r="AA5" s="66">
        <f>M:M</f>
        <v>3</v>
      </c>
      <c r="AB5" s="66" t="str">
        <f t="shared" ref="AB5" si="24">L5</f>
        <v>GuiStudyPro</v>
      </c>
    </row>
    <row r="6" spans="1:28" s="1" customFormat="1" ht="16.5" x14ac:dyDescent="0.15">
      <c r="A6" s="54">
        <f t="shared" si="3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163</v>
      </c>
      <c r="L6" s="54" t="str">
        <f t="shared" si="6"/>
        <v>GuiStudyPro</v>
      </c>
      <c r="M6" s="52">
        <v>4</v>
      </c>
      <c r="N6" s="54" t="s">
        <v>158</v>
      </c>
      <c r="O6" s="55" t="s">
        <v>19</v>
      </c>
      <c r="P6" s="55" t="s">
        <v>19</v>
      </c>
      <c r="Q6" s="55" t="s">
        <v>19</v>
      </c>
      <c r="R6" s="47"/>
      <c r="S6" s="65" t="str">
        <f t="shared" ref="S6" si="25">B6&amp;M6</f>
        <v>QPushButton4</v>
      </c>
      <c r="T6" s="65">
        <f>IF(COUNTIF(S:S,S6)&gt;1,0,1)</f>
        <v>1</v>
      </c>
      <c r="V6" s="66" t="str">
        <f t="shared" ref="V6" si="26">H6</f>
        <v>NULL</v>
      </c>
      <c r="W6" s="66" t="str">
        <f t="shared" ref="W6" si="27">I6</f>
        <v>NULL</v>
      </c>
      <c r="X6" s="66" t="str">
        <f t="shared" ref="X6" si="28">O6</f>
        <v>NULL</v>
      </c>
      <c r="Y6" s="1">
        <v>0</v>
      </c>
      <c r="Z6" s="66" t="str">
        <f t="shared" ref="Z6" si="29">B6</f>
        <v>QPushButton</v>
      </c>
      <c r="AA6" s="66">
        <f>M:M</f>
        <v>4</v>
      </c>
      <c r="AB6" s="66" t="str">
        <f t="shared" ref="AB6" si="30">L6</f>
        <v>GuiStudyPro</v>
      </c>
    </row>
    <row r="7" spans="1:28" s="1" customFormat="1" ht="16.5" x14ac:dyDescent="0.15">
      <c r="A7" s="54">
        <f t="shared" si="3"/>
        <v>6</v>
      </c>
      <c r="B7" s="55" t="s">
        <v>24</v>
      </c>
      <c r="C7" s="52"/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2" t="s">
        <v>82</v>
      </c>
      <c r="J7" s="55" t="s">
        <v>19</v>
      </c>
      <c r="K7" s="52" t="s">
        <v>164</v>
      </c>
      <c r="L7" s="54" t="str">
        <f t="shared" ref="L7:L27" si="31">$L$2</f>
        <v>GuiStudyPro</v>
      </c>
      <c r="M7" s="52">
        <v>5</v>
      </c>
      <c r="N7" s="54" t="s">
        <v>139</v>
      </c>
      <c r="O7" s="55" t="s">
        <v>19</v>
      </c>
      <c r="P7" s="55" t="s">
        <v>19</v>
      </c>
      <c r="Q7" s="55" t="s">
        <v>19</v>
      </c>
      <c r="R7" s="47"/>
      <c r="S7" s="65" t="str">
        <f t="shared" ref="S7" si="32">B7&amp;M7</f>
        <v>QPushButton5</v>
      </c>
      <c r="T7" s="65">
        <f>IF(COUNTIF(S:S,S7)&gt;1,0,1)</f>
        <v>1</v>
      </c>
      <c r="V7" s="66" t="str">
        <f t="shared" ref="V7" si="33">H7</f>
        <v>NULL</v>
      </c>
      <c r="W7" s="66" t="str">
        <f t="shared" ref="W7" si="34">I7</f>
        <v>NULL</v>
      </c>
      <c r="X7" s="66" t="str">
        <f t="shared" ref="X7" si="35">O7</f>
        <v>NULL</v>
      </c>
      <c r="Y7" s="1">
        <v>0</v>
      </c>
      <c r="Z7" s="66" t="str">
        <f t="shared" ref="Z7" si="36">B7</f>
        <v>QPushButton</v>
      </c>
      <c r="AA7" s="66">
        <f>M:M</f>
        <v>5</v>
      </c>
      <c r="AB7" s="66" t="str">
        <f t="shared" ref="AB7" si="37">L7</f>
        <v>GuiStudyPro</v>
      </c>
    </row>
    <row r="8" spans="1:28" s="66" customFormat="1" ht="16.5" x14ac:dyDescent="0.15">
      <c r="A8" s="54">
        <f t="shared" si="3"/>
        <v>7</v>
      </c>
      <c r="B8" s="55" t="s">
        <v>30</v>
      </c>
      <c r="C8" s="55" t="s">
        <v>19</v>
      </c>
      <c r="D8" s="52">
        <v>0</v>
      </c>
      <c r="E8" s="52">
        <v>6</v>
      </c>
      <c r="F8" s="52">
        <v>1</v>
      </c>
      <c r="G8" s="52">
        <v>1</v>
      </c>
      <c r="H8" s="55" t="s">
        <v>19</v>
      </c>
      <c r="I8" s="55" t="s">
        <v>19</v>
      </c>
      <c r="J8" s="55" t="s">
        <v>19</v>
      </c>
      <c r="K8" s="55" t="s">
        <v>19</v>
      </c>
      <c r="L8" s="54" t="str">
        <f t="shared" si="31"/>
        <v>GuiStudyPro</v>
      </c>
      <c r="M8" s="52">
        <v>0</v>
      </c>
      <c r="N8" s="55" t="s">
        <v>19</v>
      </c>
      <c r="O8" s="55" t="s">
        <v>19</v>
      </c>
      <c r="P8" s="55" t="s">
        <v>19</v>
      </c>
      <c r="Q8" s="55" t="s">
        <v>19</v>
      </c>
      <c r="R8" s="26"/>
      <c r="S8" s="65" t="str">
        <f t="shared" ref="S8:S10" si="38">B8&amp;M8</f>
        <v>QSpacerItem0</v>
      </c>
      <c r="T8" s="65">
        <f>IF(COUNTIF(S:S,S8)&gt;1,0,1)</f>
        <v>1</v>
      </c>
      <c r="V8" s="66" t="str">
        <f t="shared" ref="V8:W10" si="39">H8</f>
        <v>NULL</v>
      </c>
      <c r="W8" s="66" t="str">
        <f t="shared" ref="W8" si="40">I8</f>
        <v>NULL</v>
      </c>
      <c r="X8" s="66" t="str">
        <f t="shared" ref="X8:X10" si="41">O8</f>
        <v>NULL</v>
      </c>
      <c r="Y8" s="66">
        <v>13</v>
      </c>
      <c r="Z8" s="66" t="str">
        <f t="shared" ref="Z8:Z10" si="42">B8</f>
        <v>QSpacerItem</v>
      </c>
      <c r="AA8" s="66">
        <f>M:M</f>
        <v>0</v>
      </c>
      <c r="AB8" s="66" t="str">
        <f t="shared" ref="AB8:AB10" si="43">L8</f>
        <v>GuiStudyPro</v>
      </c>
    </row>
    <row r="9" spans="1:28" s="13" customFormat="1" ht="16.5" x14ac:dyDescent="0.15">
      <c r="A9" s="54">
        <f t="shared" si="3"/>
        <v>8</v>
      </c>
      <c r="B9" s="55" t="s">
        <v>22</v>
      </c>
      <c r="C9" s="54" t="s">
        <v>106</v>
      </c>
      <c r="D9" s="52">
        <v>0</v>
      </c>
      <c r="E9" s="52">
        <v>7</v>
      </c>
      <c r="F9" s="52">
        <v>1</v>
      </c>
      <c r="G9" s="52">
        <v>1</v>
      </c>
      <c r="H9" s="54" t="s">
        <v>148</v>
      </c>
      <c r="I9" s="54">
        <v>100</v>
      </c>
      <c r="J9" s="55" t="s">
        <v>19</v>
      </c>
      <c r="K9" s="55" t="s">
        <v>19</v>
      </c>
      <c r="L9" s="54" t="str">
        <f>$L$2</f>
        <v>GuiStudyPro</v>
      </c>
      <c r="M9" s="52">
        <v>0</v>
      </c>
      <c r="N9" s="55" t="s">
        <v>19</v>
      </c>
      <c r="O9" s="52" t="s">
        <v>150</v>
      </c>
      <c r="P9" s="55" t="s">
        <v>19</v>
      </c>
      <c r="Q9" s="55" t="s">
        <v>19</v>
      </c>
      <c r="R9" s="47"/>
      <c r="S9" s="40" t="str">
        <f t="shared" si="38"/>
        <v>QLineEdit0</v>
      </c>
      <c r="T9" s="40">
        <f>IF(COUNTIF(S:S,S9)&gt;1,0,1)</f>
        <v>1</v>
      </c>
      <c r="V9" s="11" t="str">
        <f t="shared" si="39"/>
        <v>StudyCode</v>
      </c>
      <c r="W9" s="11">
        <f t="shared" si="39"/>
        <v>100</v>
      </c>
      <c r="X9" s="11" t="str">
        <f t="shared" si="41"/>
        <v>Code file</v>
      </c>
      <c r="Y9" s="13">
        <v>0</v>
      </c>
      <c r="Z9" s="11" t="str">
        <f t="shared" si="42"/>
        <v>QLineEdit</v>
      </c>
      <c r="AA9" s="11">
        <f>M:M</f>
        <v>0</v>
      </c>
      <c r="AB9" s="11" t="str">
        <f t="shared" si="43"/>
        <v>GuiStudyPro</v>
      </c>
    </row>
    <row r="10" spans="1:28" s="1" customFormat="1" ht="16.5" x14ac:dyDescent="0.15">
      <c r="A10" s="54">
        <f t="shared" si="3"/>
        <v>9</v>
      </c>
      <c r="B10" s="55" t="s">
        <v>24</v>
      </c>
      <c r="C10" s="52"/>
      <c r="D10" s="52">
        <v>0</v>
      </c>
      <c r="E10" s="52">
        <v>8</v>
      </c>
      <c r="F10" s="52">
        <v>1</v>
      </c>
      <c r="G10" s="52">
        <v>1</v>
      </c>
      <c r="H10" s="55" t="s">
        <v>19</v>
      </c>
      <c r="I10" s="52" t="s">
        <v>82</v>
      </c>
      <c r="J10" s="55" t="s">
        <v>19</v>
      </c>
      <c r="K10" s="52" t="s">
        <v>165</v>
      </c>
      <c r="L10" s="54" t="str">
        <f t="shared" si="31"/>
        <v>GuiStudyPro</v>
      </c>
      <c r="M10" s="52">
        <v>6</v>
      </c>
      <c r="N10" s="54" t="s">
        <v>166</v>
      </c>
      <c r="O10" s="55" t="s">
        <v>19</v>
      </c>
      <c r="P10" s="55" t="s">
        <v>19</v>
      </c>
      <c r="Q10" s="55" t="s">
        <v>19</v>
      </c>
      <c r="R10" s="47"/>
      <c r="S10" s="65" t="str">
        <f t="shared" si="38"/>
        <v>QPushButton6</v>
      </c>
      <c r="T10" s="65">
        <f>IF(COUNTIF(S:S,S10)&gt;1,0,1)</f>
        <v>1</v>
      </c>
      <c r="V10" s="66" t="str">
        <f t="shared" si="39"/>
        <v>NULL</v>
      </c>
      <c r="W10" s="66" t="str">
        <f t="shared" si="39"/>
        <v>NULL</v>
      </c>
      <c r="X10" s="66" t="str">
        <f t="shared" si="41"/>
        <v>NULL</v>
      </c>
      <c r="Y10" s="1">
        <v>0</v>
      </c>
      <c r="Z10" s="66" t="str">
        <f t="shared" si="42"/>
        <v>QPushButton</v>
      </c>
      <c r="AA10" s="66">
        <f>M:M</f>
        <v>6</v>
      </c>
      <c r="AB10" s="66" t="str">
        <f t="shared" si="43"/>
        <v>GuiStudyPro</v>
      </c>
    </row>
    <row r="11" spans="1:28" s="1" customFormat="1" ht="16.5" x14ac:dyDescent="0.15">
      <c r="A11" s="58">
        <f t="shared" si="3"/>
        <v>10</v>
      </c>
      <c r="B11" s="58" t="s">
        <v>152</v>
      </c>
      <c r="C11" s="58" t="s">
        <v>106</v>
      </c>
      <c r="D11" s="60">
        <v>0</v>
      </c>
      <c r="E11" s="60">
        <v>0</v>
      </c>
      <c r="F11" s="60">
        <v>1</v>
      </c>
      <c r="G11" s="60">
        <v>1</v>
      </c>
      <c r="H11" s="58" t="s">
        <v>135</v>
      </c>
      <c r="I11" s="76" t="s">
        <v>88</v>
      </c>
      <c r="J11" s="76" t="s">
        <v>89</v>
      </c>
      <c r="K11" s="60" t="s">
        <v>151</v>
      </c>
      <c r="L11" s="58" t="str">
        <f t="shared" si="31"/>
        <v>GuiStudyPro</v>
      </c>
      <c r="M11" s="60">
        <v>0</v>
      </c>
      <c r="N11" s="59" t="s">
        <v>19</v>
      </c>
      <c r="O11" s="60" t="s">
        <v>149</v>
      </c>
      <c r="P11" s="59" t="s">
        <v>19</v>
      </c>
      <c r="Q11" s="59" t="s">
        <v>19</v>
      </c>
      <c r="R11" s="61"/>
      <c r="S11" s="65" t="str">
        <f t="shared" ref="S11:S16" si="44">B11&amp;M11</f>
        <v>QTextEdit0</v>
      </c>
      <c r="T11" s="65">
        <f>IF(COUNTIF(S:S,S11)&gt;1,0,1)</f>
        <v>1</v>
      </c>
      <c r="V11" s="66" t="str">
        <f t="shared" ref="V11:W13" si="45">H11</f>
        <v>StudyCode</v>
      </c>
      <c r="W11" s="66" t="str">
        <f t="shared" si="45"/>
        <v>AlignLeft</v>
      </c>
      <c r="X11" s="66" t="str">
        <f t="shared" ref="X11:X24" si="46">O11</f>
        <v>Origin code</v>
      </c>
      <c r="Y11" s="1">
        <v>0</v>
      </c>
      <c r="Z11" s="66" t="str">
        <f t="shared" ref="Z11:Z24" si="47">B11</f>
        <v>QTextEdit</v>
      </c>
      <c r="AA11" s="66">
        <f>M:M</f>
        <v>0</v>
      </c>
      <c r="AB11" s="66" t="str">
        <f t="shared" ref="AB11:AB24" si="48">L11</f>
        <v>GuiStudyPro</v>
      </c>
    </row>
    <row r="12" spans="1:28" s="1" customFormat="1" ht="16.5" x14ac:dyDescent="0.15">
      <c r="A12" s="31">
        <f t="shared" si="3"/>
        <v>11</v>
      </c>
      <c r="B12" s="32" t="s">
        <v>24</v>
      </c>
      <c r="C12" s="33" t="s">
        <v>168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 t="s">
        <v>82</v>
      </c>
      <c r="J12" s="32" t="s">
        <v>19</v>
      </c>
      <c r="K12" s="33" t="s">
        <v>19</v>
      </c>
      <c r="L12" s="31" t="str">
        <f t="shared" si="31"/>
        <v>GuiStudyPro</v>
      </c>
      <c r="M12" s="33">
        <v>10</v>
      </c>
      <c r="N12" s="31" t="s">
        <v>136</v>
      </c>
      <c r="O12" s="32" t="s">
        <v>19</v>
      </c>
      <c r="P12" s="32" t="s">
        <v>19</v>
      </c>
      <c r="Q12" s="32" t="s">
        <v>19</v>
      </c>
      <c r="R12" s="34"/>
      <c r="S12" s="65" t="str">
        <f t="shared" si="44"/>
        <v>QPushButton10</v>
      </c>
      <c r="T12" s="65">
        <f>IF(COUNTIF(S:S,S12)&gt;1,0,1)</f>
        <v>1</v>
      </c>
      <c r="V12" s="66" t="str">
        <f t="shared" si="45"/>
        <v>NULL</v>
      </c>
      <c r="W12" s="66" t="str">
        <f t="shared" si="45"/>
        <v>NULL</v>
      </c>
      <c r="X12" s="66" t="str">
        <f t="shared" si="46"/>
        <v>NULL</v>
      </c>
      <c r="Y12" s="1">
        <v>0</v>
      </c>
      <c r="Z12" s="66" t="str">
        <f t="shared" si="47"/>
        <v>QPushButton</v>
      </c>
      <c r="AA12" s="66">
        <f>M:M</f>
        <v>10</v>
      </c>
      <c r="AB12" s="66" t="str">
        <f t="shared" si="48"/>
        <v>GuiStudyPro</v>
      </c>
    </row>
    <row r="13" spans="1:28" s="1" customFormat="1" ht="16.5" x14ac:dyDescent="0.15">
      <c r="A13" s="31">
        <f t="shared" si="3"/>
        <v>12</v>
      </c>
      <c r="B13" s="32" t="s">
        <v>24</v>
      </c>
      <c r="C13" s="33" t="s">
        <v>169</v>
      </c>
      <c r="D13" s="33">
        <v>0</v>
      </c>
      <c r="E13" s="33">
        <v>1</v>
      </c>
      <c r="F13" s="33">
        <v>1</v>
      </c>
      <c r="G13" s="33">
        <v>1</v>
      </c>
      <c r="H13" s="32" t="s">
        <v>19</v>
      </c>
      <c r="I13" s="33" t="s">
        <v>82</v>
      </c>
      <c r="J13" s="32" t="s">
        <v>19</v>
      </c>
      <c r="K13" s="33" t="s">
        <v>19</v>
      </c>
      <c r="L13" s="31" t="str">
        <f t="shared" si="31"/>
        <v>GuiStudyPro</v>
      </c>
      <c r="M13" s="33">
        <v>11</v>
      </c>
      <c r="N13" s="31" t="s">
        <v>137</v>
      </c>
      <c r="O13" s="32" t="s">
        <v>19</v>
      </c>
      <c r="P13" s="32" t="s">
        <v>19</v>
      </c>
      <c r="Q13" s="32" t="s">
        <v>19</v>
      </c>
      <c r="R13" s="34"/>
      <c r="S13" s="65" t="str">
        <f t="shared" si="44"/>
        <v>QPushButton11</v>
      </c>
      <c r="T13" s="65">
        <f>IF(COUNTIF(S:S,S13)&gt;1,0,1)</f>
        <v>1</v>
      </c>
      <c r="V13" s="66" t="str">
        <f t="shared" si="45"/>
        <v>NULL</v>
      </c>
      <c r="W13" s="66" t="str">
        <f t="shared" si="45"/>
        <v>NULL</v>
      </c>
      <c r="X13" s="66" t="str">
        <f t="shared" si="46"/>
        <v>NULL</v>
      </c>
      <c r="Y13" s="1">
        <v>0</v>
      </c>
      <c r="Z13" s="66" t="str">
        <f t="shared" si="47"/>
        <v>QPushButton</v>
      </c>
      <c r="AA13" s="66">
        <f>M:M</f>
        <v>11</v>
      </c>
      <c r="AB13" s="66" t="str">
        <f t="shared" si="48"/>
        <v>GuiStudyPro</v>
      </c>
    </row>
    <row r="14" spans="1:28" s="1" customFormat="1" ht="16.5" x14ac:dyDescent="0.15">
      <c r="A14" s="68">
        <f t="shared" si="3"/>
        <v>13</v>
      </c>
      <c r="B14" s="69" t="s">
        <v>24</v>
      </c>
      <c r="C14" s="70" t="s">
        <v>170</v>
      </c>
      <c r="D14" s="70">
        <v>0</v>
      </c>
      <c r="E14" s="70">
        <v>0</v>
      </c>
      <c r="F14" s="70">
        <v>1</v>
      </c>
      <c r="G14" s="70">
        <v>1</v>
      </c>
      <c r="H14" s="69" t="s">
        <v>19</v>
      </c>
      <c r="I14" s="70" t="s">
        <v>82</v>
      </c>
      <c r="J14" s="69" t="s">
        <v>19</v>
      </c>
      <c r="K14" s="70" t="s">
        <v>19</v>
      </c>
      <c r="L14" s="68" t="str">
        <f t="shared" si="31"/>
        <v>GuiStudyPro</v>
      </c>
      <c r="M14" s="70">
        <v>12</v>
      </c>
      <c r="N14" s="68" t="s">
        <v>136</v>
      </c>
      <c r="O14" s="69" t="s">
        <v>19</v>
      </c>
      <c r="P14" s="69" t="s">
        <v>19</v>
      </c>
      <c r="Q14" s="69" t="s">
        <v>19</v>
      </c>
      <c r="R14" s="35"/>
      <c r="S14" s="65" t="str">
        <f t="shared" ref="S14:S15" si="49">B14&amp;M14</f>
        <v>QPushButton12</v>
      </c>
      <c r="T14" s="65">
        <f>IF(COUNTIF(S:S,S14)&gt;1,0,1)</f>
        <v>1</v>
      </c>
      <c r="V14" s="66" t="str">
        <f t="shared" ref="V14:V15" si="50">H14</f>
        <v>NULL</v>
      </c>
      <c r="W14" s="66" t="str">
        <f t="shared" ref="W14:W15" si="51">I14</f>
        <v>NULL</v>
      </c>
      <c r="X14" s="66" t="str">
        <f t="shared" ref="X14:X15" si="52">O14</f>
        <v>NULL</v>
      </c>
      <c r="Y14" s="1">
        <v>0</v>
      </c>
      <c r="Z14" s="66" t="str">
        <f t="shared" ref="Z14:Z15" si="53">B14</f>
        <v>QPushButton</v>
      </c>
      <c r="AA14" s="66">
        <f>M:M</f>
        <v>12</v>
      </c>
      <c r="AB14" s="66" t="str">
        <f t="shared" ref="AB14:AB15" si="54">L14</f>
        <v>GuiStudyPro</v>
      </c>
    </row>
    <row r="15" spans="1:28" s="1" customFormat="1" ht="16.5" x14ac:dyDescent="0.15">
      <c r="A15" s="68">
        <f t="shared" si="3"/>
        <v>14</v>
      </c>
      <c r="B15" s="69" t="s">
        <v>24</v>
      </c>
      <c r="C15" s="70" t="s">
        <v>171</v>
      </c>
      <c r="D15" s="70">
        <v>0</v>
      </c>
      <c r="E15" s="70">
        <v>1</v>
      </c>
      <c r="F15" s="70">
        <v>1</v>
      </c>
      <c r="G15" s="70">
        <v>1</v>
      </c>
      <c r="H15" s="69" t="s">
        <v>19</v>
      </c>
      <c r="I15" s="70" t="s">
        <v>82</v>
      </c>
      <c r="J15" s="69" t="s">
        <v>19</v>
      </c>
      <c r="K15" s="70" t="s">
        <v>19</v>
      </c>
      <c r="L15" s="68" t="str">
        <f t="shared" si="31"/>
        <v>GuiStudyPro</v>
      </c>
      <c r="M15" s="70">
        <v>13</v>
      </c>
      <c r="N15" s="68" t="s">
        <v>137</v>
      </c>
      <c r="O15" s="69" t="s">
        <v>19</v>
      </c>
      <c r="P15" s="69" t="s">
        <v>19</v>
      </c>
      <c r="Q15" s="69" t="s">
        <v>19</v>
      </c>
      <c r="R15" s="35"/>
      <c r="S15" s="65" t="str">
        <f t="shared" si="49"/>
        <v>QPushButton13</v>
      </c>
      <c r="T15" s="65">
        <f>IF(COUNTIF(S:S,S15)&gt;1,0,1)</f>
        <v>1</v>
      </c>
      <c r="V15" s="66" t="str">
        <f t="shared" si="50"/>
        <v>NULL</v>
      </c>
      <c r="W15" s="66" t="str">
        <f t="shared" si="51"/>
        <v>NULL</v>
      </c>
      <c r="X15" s="66" t="str">
        <f t="shared" si="52"/>
        <v>NULL</v>
      </c>
      <c r="Y15" s="1">
        <v>0</v>
      </c>
      <c r="Z15" s="66" t="str">
        <f t="shared" si="53"/>
        <v>QPushButton</v>
      </c>
      <c r="AA15" s="66">
        <f>M:M</f>
        <v>13</v>
      </c>
      <c r="AB15" s="66" t="str">
        <f t="shared" si="54"/>
        <v>GuiStudyPro</v>
      </c>
    </row>
    <row r="16" spans="1:28" s="66" customFormat="1" ht="16.5" x14ac:dyDescent="0.15">
      <c r="A16" s="71">
        <f t="shared" si="3"/>
        <v>15</v>
      </c>
      <c r="B16" s="72" t="s">
        <v>131</v>
      </c>
      <c r="C16" s="72" t="s">
        <v>19</v>
      </c>
      <c r="D16" s="73">
        <v>0</v>
      </c>
      <c r="E16" s="73">
        <v>0</v>
      </c>
      <c r="F16" s="73">
        <v>1</v>
      </c>
      <c r="G16" s="73">
        <v>1</v>
      </c>
      <c r="H16" s="72" t="s">
        <v>19</v>
      </c>
      <c r="I16" s="72" t="s">
        <v>19</v>
      </c>
      <c r="J16" s="73">
        <v>0</v>
      </c>
      <c r="K16" s="73" t="s">
        <v>140</v>
      </c>
      <c r="L16" s="71" t="str">
        <f t="shared" si="31"/>
        <v>GuiStudyPro</v>
      </c>
      <c r="M16" s="73">
        <v>0</v>
      </c>
      <c r="N16" s="73">
        <v>1</v>
      </c>
      <c r="O16" s="73" t="s">
        <v>141</v>
      </c>
      <c r="P16" s="72" t="s">
        <v>19</v>
      </c>
      <c r="Q16" s="73" t="s">
        <v>142</v>
      </c>
      <c r="R16" s="30"/>
      <c r="S16" s="65" t="str">
        <f t="shared" si="44"/>
        <v>QTableWidget0</v>
      </c>
      <c r="T16" s="65">
        <f>IF(COUNTIF(S:S,S16)&gt;1,0,1)</f>
        <v>1</v>
      </c>
      <c r="V16" s="66" t="str">
        <f>H16</f>
        <v>NULL</v>
      </c>
      <c r="W16" s="66" t="str">
        <f>Q16</f>
        <v>OutputTableData</v>
      </c>
      <c r="X16" s="66" t="str">
        <f t="shared" si="46"/>
        <v>ConfigurationFolder/GUIData/TestOutputTableData.csv</v>
      </c>
      <c r="Y16" s="6" t="s">
        <v>40</v>
      </c>
      <c r="Z16" s="66" t="str">
        <f t="shared" si="47"/>
        <v>QTableWidget</v>
      </c>
      <c r="AA16" s="66">
        <f>M:M</f>
        <v>0</v>
      </c>
      <c r="AB16" s="66" t="str">
        <f t="shared" si="48"/>
        <v>GuiStudyPro</v>
      </c>
    </row>
    <row r="17" spans="1:28" s="65" customFormat="1" ht="16.5" x14ac:dyDescent="0.15">
      <c r="A17" s="74">
        <f t="shared" si="3"/>
        <v>16</v>
      </c>
      <c r="B17" s="74" t="s">
        <v>18</v>
      </c>
      <c r="C17" s="73" t="s">
        <v>97</v>
      </c>
      <c r="D17" s="73">
        <v>1</v>
      </c>
      <c r="E17" s="73">
        <v>0</v>
      </c>
      <c r="F17" s="73">
        <v>1</v>
      </c>
      <c r="G17" s="73">
        <v>1</v>
      </c>
      <c r="H17" s="74" t="s">
        <v>19</v>
      </c>
      <c r="I17" s="74" t="s">
        <v>88</v>
      </c>
      <c r="J17" s="74" t="s">
        <v>21</v>
      </c>
      <c r="K17" s="74" t="s">
        <v>19</v>
      </c>
      <c r="L17" s="71" t="str">
        <f t="shared" si="31"/>
        <v>GuiStudyPro</v>
      </c>
      <c r="M17" s="73">
        <v>1</v>
      </c>
      <c r="N17" s="74" t="s">
        <v>19</v>
      </c>
      <c r="O17" s="74" t="s">
        <v>19</v>
      </c>
      <c r="P17" s="74" t="s">
        <v>19</v>
      </c>
      <c r="Q17" s="74" t="s">
        <v>19</v>
      </c>
      <c r="R17" s="75"/>
      <c r="S17" s="65" t="str">
        <f>B17&amp;M17</f>
        <v>Qlabel1</v>
      </c>
      <c r="T17" s="65">
        <f>IF(COUNTIF(S:S,S17)&gt;1,0,1)</f>
        <v>1</v>
      </c>
      <c r="V17" s="67" t="str">
        <f t="shared" ref="V17:W24" si="55">H17</f>
        <v>NULL</v>
      </c>
      <c r="W17" s="67" t="str">
        <f t="shared" si="55"/>
        <v>AlignLeft</v>
      </c>
      <c r="X17" s="67" t="str">
        <f t="shared" si="46"/>
        <v>NULL</v>
      </c>
      <c r="Y17" s="65">
        <v>0</v>
      </c>
      <c r="Z17" s="67" t="str">
        <f t="shared" si="47"/>
        <v>Qlabel</v>
      </c>
      <c r="AA17" s="67">
        <f>M:M</f>
        <v>1</v>
      </c>
      <c r="AB17" s="67" t="str">
        <f t="shared" si="48"/>
        <v>GuiStudyPro</v>
      </c>
    </row>
    <row r="18" spans="1:28" s="1" customFormat="1" ht="16.5" x14ac:dyDescent="0.15">
      <c r="A18" s="54">
        <f t="shared" si="3"/>
        <v>17</v>
      </c>
      <c r="B18" s="54" t="s">
        <v>128</v>
      </c>
      <c r="C18" s="55" t="s">
        <v>19</v>
      </c>
      <c r="D18" s="52">
        <v>0</v>
      </c>
      <c r="E18" s="52">
        <v>0</v>
      </c>
      <c r="F18" s="52">
        <v>1</v>
      </c>
      <c r="G18" s="52">
        <v>1</v>
      </c>
      <c r="H18" s="55" t="s">
        <v>19</v>
      </c>
      <c r="I18" s="52">
        <v>0</v>
      </c>
      <c r="J18" s="55" t="s">
        <v>19</v>
      </c>
      <c r="K18" s="55" t="s">
        <v>19</v>
      </c>
      <c r="L18" s="54" t="str">
        <f t="shared" si="31"/>
        <v>GuiStudyPro</v>
      </c>
      <c r="M18" s="52">
        <f>A2</f>
        <v>1</v>
      </c>
      <c r="N18" s="52">
        <f>A10</f>
        <v>9</v>
      </c>
      <c r="O18" s="55" t="s">
        <v>19</v>
      </c>
      <c r="P18" s="55" t="s">
        <v>19</v>
      </c>
      <c r="Q18" s="55" t="s">
        <v>19</v>
      </c>
      <c r="R18" s="47"/>
      <c r="S18" s="65" t="str">
        <f>B18&amp;I18</f>
        <v>QHBoxLayout0</v>
      </c>
      <c r="T18" s="65">
        <f>IF(COUNTIF(S:S,S18)&gt;1,0,1)</f>
        <v>1</v>
      </c>
      <c r="V18" s="66" t="str">
        <f t="shared" si="55"/>
        <v>NULL</v>
      </c>
      <c r="W18" s="66">
        <f t="shared" si="55"/>
        <v>0</v>
      </c>
      <c r="X18" s="66" t="str">
        <f t="shared" si="46"/>
        <v>NULL</v>
      </c>
      <c r="Y18" s="1">
        <v>0</v>
      </c>
      <c r="Z18" s="66" t="str">
        <f t="shared" si="47"/>
        <v>QHBoxLayout</v>
      </c>
      <c r="AA18" s="66">
        <f>W18</f>
        <v>0</v>
      </c>
      <c r="AB18" s="66" t="str">
        <f t="shared" si="48"/>
        <v>GuiStudyPro</v>
      </c>
    </row>
    <row r="19" spans="1:28" s="66" customFormat="1" ht="16.5" x14ac:dyDescent="0.15">
      <c r="A19" s="54">
        <f t="shared" si="3"/>
        <v>18</v>
      </c>
      <c r="B19" s="54" t="s">
        <v>99</v>
      </c>
      <c r="C19" s="55" t="s">
        <v>19</v>
      </c>
      <c r="D19" s="52">
        <v>1</v>
      </c>
      <c r="E19" s="52">
        <v>0</v>
      </c>
      <c r="F19" s="52">
        <v>1</v>
      </c>
      <c r="G19" s="52">
        <v>1</v>
      </c>
      <c r="H19" s="55" t="s">
        <v>19</v>
      </c>
      <c r="I19" s="52">
        <v>0</v>
      </c>
      <c r="J19" s="55" t="s">
        <v>19</v>
      </c>
      <c r="K19" s="55" t="s">
        <v>19</v>
      </c>
      <c r="L19" s="54" t="str">
        <f t="shared" si="31"/>
        <v>GuiStudyPro</v>
      </c>
      <c r="M19" s="52">
        <f>A11</f>
        <v>10</v>
      </c>
      <c r="N19" s="52">
        <f>A11</f>
        <v>10</v>
      </c>
      <c r="O19" s="55" t="s">
        <v>19</v>
      </c>
      <c r="P19" s="55" t="s">
        <v>19</v>
      </c>
      <c r="Q19" s="55" t="s">
        <v>19</v>
      </c>
      <c r="R19" s="26"/>
      <c r="S19" s="65" t="str">
        <f>B19&amp;I19</f>
        <v>QGridLayout0</v>
      </c>
      <c r="T19" s="65">
        <f>IF(COUNTIF(S:S,S19)&gt;1,0,1)</f>
        <v>1</v>
      </c>
      <c r="V19" s="66" t="str">
        <f t="shared" si="55"/>
        <v>NULL</v>
      </c>
      <c r="W19" s="66">
        <f t="shared" si="55"/>
        <v>0</v>
      </c>
      <c r="X19" s="66" t="str">
        <f t="shared" si="46"/>
        <v>NULL</v>
      </c>
      <c r="Y19" s="6" t="s">
        <v>40</v>
      </c>
      <c r="Z19" s="66" t="str">
        <f t="shared" si="47"/>
        <v>QGridLayout</v>
      </c>
      <c r="AA19" s="66">
        <f>I19</f>
        <v>0</v>
      </c>
      <c r="AB19" s="66" t="str">
        <f t="shared" si="48"/>
        <v>GuiStudyPro</v>
      </c>
    </row>
    <row r="20" spans="1:28" s="66" customFormat="1" ht="16.5" x14ac:dyDescent="0.15">
      <c r="A20" s="31">
        <f t="shared" si="3"/>
        <v>19</v>
      </c>
      <c r="B20" s="31" t="s">
        <v>99</v>
      </c>
      <c r="C20" s="32" t="s">
        <v>19</v>
      </c>
      <c r="D20" s="33">
        <v>0</v>
      </c>
      <c r="E20" s="33">
        <v>0</v>
      </c>
      <c r="F20" s="33">
        <v>1</v>
      </c>
      <c r="G20" s="33">
        <v>1</v>
      </c>
      <c r="H20" s="32" t="s">
        <v>19</v>
      </c>
      <c r="I20" s="33">
        <v>2</v>
      </c>
      <c r="J20" s="32" t="s">
        <v>19</v>
      </c>
      <c r="K20" s="32" t="s">
        <v>19</v>
      </c>
      <c r="L20" s="31" t="str">
        <f t="shared" si="31"/>
        <v>GuiStudyPro</v>
      </c>
      <c r="M20" s="33">
        <f>A12</f>
        <v>11</v>
      </c>
      <c r="N20" s="33">
        <f>A13</f>
        <v>12</v>
      </c>
      <c r="O20" s="32" t="s">
        <v>19</v>
      </c>
      <c r="P20" s="32" t="s">
        <v>19</v>
      </c>
      <c r="Q20" s="32" t="s">
        <v>19</v>
      </c>
      <c r="R20" s="28"/>
      <c r="S20" s="65" t="str">
        <f>B20&amp;I20</f>
        <v>QGridLayout2</v>
      </c>
      <c r="T20" s="65">
        <f>IF(COUNTIF(S:S,S20)&gt;1,0,1)</f>
        <v>1</v>
      </c>
      <c r="V20" s="66" t="str">
        <f t="shared" si="55"/>
        <v>NULL</v>
      </c>
      <c r="W20" s="66">
        <f t="shared" si="55"/>
        <v>2</v>
      </c>
      <c r="X20" s="66" t="str">
        <f t="shared" si="46"/>
        <v>NULL</v>
      </c>
      <c r="Y20" s="6" t="s">
        <v>40</v>
      </c>
      <c r="Z20" s="66" t="str">
        <f t="shared" si="47"/>
        <v>QGridLayout</v>
      </c>
      <c r="AA20" s="66">
        <f>I20</f>
        <v>2</v>
      </c>
      <c r="AB20" s="66" t="str">
        <f t="shared" si="48"/>
        <v>GuiStudyPro</v>
      </c>
    </row>
    <row r="21" spans="1:28" s="66" customFormat="1" ht="16.5" x14ac:dyDescent="0.15">
      <c r="A21" s="68">
        <f t="shared" si="3"/>
        <v>20</v>
      </c>
      <c r="B21" s="68" t="s">
        <v>99</v>
      </c>
      <c r="C21" s="69" t="s">
        <v>19</v>
      </c>
      <c r="D21" s="70">
        <v>0</v>
      </c>
      <c r="E21" s="70">
        <v>0</v>
      </c>
      <c r="F21" s="70">
        <v>1</v>
      </c>
      <c r="G21" s="70">
        <v>1</v>
      </c>
      <c r="H21" s="69" t="s">
        <v>19</v>
      </c>
      <c r="I21" s="70">
        <v>3</v>
      </c>
      <c r="J21" s="69" t="s">
        <v>19</v>
      </c>
      <c r="K21" s="69" t="s">
        <v>19</v>
      </c>
      <c r="L21" s="68" t="str">
        <f t="shared" si="31"/>
        <v>GuiStudyPro</v>
      </c>
      <c r="M21" s="70">
        <f>A14</f>
        <v>13</v>
      </c>
      <c r="N21" s="70">
        <f>A15</f>
        <v>14</v>
      </c>
      <c r="O21" s="69" t="s">
        <v>19</v>
      </c>
      <c r="P21" s="69" t="s">
        <v>19</v>
      </c>
      <c r="Q21" s="69" t="s">
        <v>19</v>
      </c>
      <c r="R21" s="29"/>
      <c r="S21" s="65" t="str">
        <f>B21&amp;I21</f>
        <v>QGridLayout3</v>
      </c>
      <c r="T21" s="65">
        <f>IF(COUNTIF(S:S,S21)&gt;1,0,1)</f>
        <v>1</v>
      </c>
      <c r="V21" s="66" t="str">
        <f t="shared" ref="V21:V22" si="56">H21</f>
        <v>NULL</v>
      </c>
      <c r="W21" s="66">
        <f t="shared" ref="W21:W22" si="57">I21</f>
        <v>3</v>
      </c>
      <c r="X21" s="66" t="str">
        <f t="shared" ref="X21:X22" si="58">O21</f>
        <v>NULL</v>
      </c>
      <c r="Y21" s="6" t="s">
        <v>40</v>
      </c>
      <c r="Z21" s="66" t="str">
        <f t="shared" ref="Z21:Z22" si="59">B21</f>
        <v>QGridLayout</v>
      </c>
      <c r="AA21" s="66">
        <f>I21</f>
        <v>3</v>
      </c>
      <c r="AB21" s="66" t="str">
        <f t="shared" ref="AB21:AB22" si="60">L21</f>
        <v>GuiStudyPro</v>
      </c>
    </row>
    <row r="22" spans="1:28" s="66" customFormat="1" ht="16.5" x14ac:dyDescent="0.15">
      <c r="A22" s="71">
        <f t="shared" si="3"/>
        <v>21</v>
      </c>
      <c r="B22" s="71" t="s">
        <v>99</v>
      </c>
      <c r="C22" s="72" t="s">
        <v>19</v>
      </c>
      <c r="D22" s="73">
        <v>0</v>
      </c>
      <c r="E22" s="73">
        <v>0</v>
      </c>
      <c r="F22" s="73">
        <v>1</v>
      </c>
      <c r="G22" s="73">
        <v>1</v>
      </c>
      <c r="H22" s="72" t="s">
        <v>19</v>
      </c>
      <c r="I22" s="73">
        <v>4</v>
      </c>
      <c r="J22" s="72" t="s">
        <v>19</v>
      </c>
      <c r="K22" s="72" t="s">
        <v>19</v>
      </c>
      <c r="L22" s="71" t="str">
        <f t="shared" si="31"/>
        <v>GuiStudyPro</v>
      </c>
      <c r="M22" s="73">
        <f>A16</f>
        <v>15</v>
      </c>
      <c r="N22" s="73">
        <f>A17</f>
        <v>16</v>
      </c>
      <c r="O22" s="72" t="s">
        <v>19</v>
      </c>
      <c r="P22" s="72" t="s">
        <v>19</v>
      </c>
      <c r="Q22" s="72" t="s">
        <v>19</v>
      </c>
      <c r="R22" s="30"/>
      <c r="S22" s="65" t="str">
        <f>B22&amp;I22</f>
        <v>QGridLayout4</v>
      </c>
      <c r="T22" s="65">
        <f>IF(COUNTIF(S:S,S22)&gt;1,0,1)</f>
        <v>1</v>
      </c>
      <c r="V22" s="66" t="str">
        <f t="shared" si="56"/>
        <v>NULL</v>
      </c>
      <c r="W22" s="66">
        <f t="shared" si="57"/>
        <v>4</v>
      </c>
      <c r="X22" s="66" t="str">
        <f t="shared" si="58"/>
        <v>NULL</v>
      </c>
      <c r="Y22" s="6" t="s">
        <v>40</v>
      </c>
      <c r="Z22" s="66" t="str">
        <f t="shared" si="59"/>
        <v>QGridLayout</v>
      </c>
      <c r="AA22" s="66">
        <f>I22</f>
        <v>4</v>
      </c>
      <c r="AB22" s="66" t="str">
        <f t="shared" si="60"/>
        <v>GuiStudyPro</v>
      </c>
    </row>
    <row r="23" spans="1:28" s="11" customFormat="1" ht="16.5" x14ac:dyDescent="0.15">
      <c r="A23" s="58">
        <f t="shared" si="3"/>
        <v>22</v>
      </c>
      <c r="B23" s="58" t="s">
        <v>154</v>
      </c>
      <c r="C23" s="58" t="s">
        <v>155</v>
      </c>
      <c r="D23" s="60">
        <v>0</v>
      </c>
      <c r="E23" s="60">
        <v>0</v>
      </c>
      <c r="F23" s="60">
        <v>1</v>
      </c>
      <c r="G23" s="60">
        <v>1</v>
      </c>
      <c r="H23" s="59" t="s">
        <v>19</v>
      </c>
      <c r="I23" s="60">
        <v>0</v>
      </c>
      <c r="J23" s="60">
        <f>I20</f>
        <v>2</v>
      </c>
      <c r="K23" s="60" t="s">
        <v>33</v>
      </c>
      <c r="L23" s="58" t="str">
        <f t="shared" si="31"/>
        <v>GuiStudyPro</v>
      </c>
      <c r="M23" s="58" t="s">
        <v>66</v>
      </c>
      <c r="N23" s="59" t="s">
        <v>19</v>
      </c>
      <c r="O23" s="59" t="s">
        <v>19</v>
      </c>
      <c r="P23" s="60">
        <v>2</v>
      </c>
      <c r="Q23" s="60" t="s">
        <v>157</v>
      </c>
      <c r="R23" s="27"/>
      <c r="S23" s="40" t="str">
        <f>B23&amp;I23</f>
        <v>QTabWidget0</v>
      </c>
      <c r="T23" s="40">
        <f>IF(COUNTIF(S:S,S23)&gt;1,0,1)</f>
        <v>0</v>
      </c>
      <c r="V23" s="11" t="str">
        <f t="shared" si="55"/>
        <v>NULL</v>
      </c>
      <c r="W23" s="11" t="str">
        <f>Q23</f>
        <v>TabCheck</v>
      </c>
      <c r="X23" s="11" t="str">
        <f t="shared" si="46"/>
        <v>NULL</v>
      </c>
      <c r="Y23" s="12" t="s">
        <v>40</v>
      </c>
      <c r="Z23" s="11" t="str">
        <f t="shared" si="47"/>
        <v>QTabWidget</v>
      </c>
      <c r="AA23" s="11">
        <f>I23</f>
        <v>0</v>
      </c>
      <c r="AB23" s="11" t="str">
        <f t="shared" si="48"/>
        <v>GuiStudyPro</v>
      </c>
    </row>
    <row r="24" spans="1:28" s="11" customFormat="1" ht="16.5" x14ac:dyDescent="0.15">
      <c r="A24" s="58">
        <f t="shared" si="3"/>
        <v>23</v>
      </c>
      <c r="B24" s="58" t="s">
        <v>154</v>
      </c>
      <c r="C24" s="58" t="s">
        <v>167</v>
      </c>
      <c r="D24" s="60">
        <v>0</v>
      </c>
      <c r="E24" s="60">
        <v>0</v>
      </c>
      <c r="F24" s="60">
        <v>1</v>
      </c>
      <c r="G24" s="60">
        <v>1</v>
      </c>
      <c r="H24" s="59" t="s">
        <v>19</v>
      </c>
      <c r="I24" s="60">
        <v>0</v>
      </c>
      <c r="J24" s="60">
        <f>I21</f>
        <v>3</v>
      </c>
      <c r="K24" s="60" t="s">
        <v>33</v>
      </c>
      <c r="L24" s="58" t="str">
        <f t="shared" si="31"/>
        <v>GuiStudyPro</v>
      </c>
      <c r="M24" s="58" t="s">
        <v>66</v>
      </c>
      <c r="N24" s="59" t="s">
        <v>19</v>
      </c>
      <c r="O24" s="59" t="s">
        <v>19</v>
      </c>
      <c r="P24" s="60">
        <v>2</v>
      </c>
      <c r="Q24" s="60" t="s">
        <v>157</v>
      </c>
      <c r="R24" s="27"/>
      <c r="S24" s="40" t="str">
        <f>B24&amp;I24</f>
        <v>QTabWidget0</v>
      </c>
      <c r="T24" s="40">
        <f>IF(COUNTIF(S:S,S24)&gt;1,0,1)</f>
        <v>0</v>
      </c>
      <c r="V24" s="11" t="str">
        <f t="shared" si="55"/>
        <v>NULL</v>
      </c>
      <c r="W24" s="11" t="str">
        <f>Q24</f>
        <v>TabCheck</v>
      </c>
      <c r="X24" s="11" t="str">
        <f t="shared" si="46"/>
        <v>NULL</v>
      </c>
      <c r="Y24" s="12" t="s">
        <v>40</v>
      </c>
      <c r="Z24" s="11" t="str">
        <f t="shared" si="47"/>
        <v>QTabWidget</v>
      </c>
      <c r="AA24" s="11">
        <f>I24</f>
        <v>0</v>
      </c>
      <c r="AB24" s="11" t="str">
        <f t="shared" si="48"/>
        <v>GuiStudyPro</v>
      </c>
    </row>
    <row r="25" spans="1:28" s="11" customFormat="1" ht="16.5" x14ac:dyDescent="0.15">
      <c r="A25" s="58">
        <f t="shared" si="3"/>
        <v>24</v>
      </c>
      <c r="B25" s="59" t="s">
        <v>27</v>
      </c>
      <c r="C25" s="58" t="s">
        <v>145</v>
      </c>
      <c r="D25" s="60">
        <v>1</v>
      </c>
      <c r="E25" s="60">
        <v>0</v>
      </c>
      <c r="F25" s="60">
        <v>1</v>
      </c>
      <c r="G25" s="60">
        <v>1</v>
      </c>
      <c r="H25" s="59" t="s">
        <v>19</v>
      </c>
      <c r="I25" s="60">
        <f>J25+1</f>
        <v>5</v>
      </c>
      <c r="J25" s="60">
        <f>I22</f>
        <v>4</v>
      </c>
      <c r="K25" s="60" t="s">
        <v>33</v>
      </c>
      <c r="L25" s="58" t="str">
        <f t="shared" si="31"/>
        <v>GuiStudyPro</v>
      </c>
      <c r="M25" s="59" t="s">
        <v>19</v>
      </c>
      <c r="N25" s="59" t="s">
        <v>19</v>
      </c>
      <c r="O25" s="59" t="s">
        <v>19</v>
      </c>
      <c r="P25" s="60">
        <v>0</v>
      </c>
      <c r="Q25" s="60" t="s">
        <v>143</v>
      </c>
      <c r="R25" s="27"/>
      <c r="S25" s="40" t="str">
        <f>B25&amp;I25</f>
        <v>QGroupBox5</v>
      </c>
      <c r="T25" s="40">
        <f>IF(COUNTIF(S:S,S25)&gt;1,0,1)</f>
        <v>1</v>
      </c>
      <c r="V25" s="11" t="str">
        <f t="shared" ref="V25:V27" si="61">H25</f>
        <v>NULL</v>
      </c>
      <c r="W25" s="11" t="str">
        <f>Q25</f>
        <v>OutputGroup</v>
      </c>
      <c r="X25" s="11" t="str">
        <f t="shared" ref="X25:X27" si="62">O25</f>
        <v>NULL</v>
      </c>
      <c r="Y25" s="12" t="s">
        <v>40</v>
      </c>
      <c r="Z25" s="11" t="str">
        <f t="shared" ref="Z25:Z27" si="63">B25</f>
        <v>QGroupBox</v>
      </c>
      <c r="AA25" s="11">
        <f>I25</f>
        <v>5</v>
      </c>
      <c r="AB25" s="11" t="str">
        <f t="shared" ref="AB25:AB27" si="64">L25</f>
        <v>GuiStudyPro</v>
      </c>
    </row>
    <row r="26" spans="1:28" s="1" customFormat="1" ht="16.5" x14ac:dyDescent="0.15">
      <c r="A26" s="54">
        <f t="shared" si="3"/>
        <v>25</v>
      </c>
      <c r="B26" s="54" t="s">
        <v>100</v>
      </c>
      <c r="C26" s="55" t="s">
        <v>19</v>
      </c>
      <c r="D26" s="52">
        <v>0</v>
      </c>
      <c r="E26" s="52">
        <v>0</v>
      </c>
      <c r="F26" s="52">
        <v>1</v>
      </c>
      <c r="G26" s="52">
        <v>1</v>
      </c>
      <c r="H26" s="55" t="s">
        <v>19</v>
      </c>
      <c r="I26" s="52">
        <v>1</v>
      </c>
      <c r="J26" s="55" t="s">
        <v>19</v>
      </c>
      <c r="K26" s="55" t="s">
        <v>19</v>
      </c>
      <c r="L26" s="54" t="str">
        <f t="shared" si="31"/>
        <v>GuiStudyPro</v>
      </c>
      <c r="M26" s="52">
        <f>A18</f>
        <v>17</v>
      </c>
      <c r="N26" s="52">
        <f>A19</f>
        <v>18</v>
      </c>
      <c r="O26" s="55" t="s">
        <v>19</v>
      </c>
      <c r="P26" s="55" t="s">
        <v>19</v>
      </c>
      <c r="Q26" s="55" t="s">
        <v>19</v>
      </c>
      <c r="R26" s="47"/>
      <c r="S26" s="65" t="str">
        <f>LEFT(B26,LEN(B26)-2)&amp;I26</f>
        <v>QGridLayout1</v>
      </c>
      <c r="T26" s="65">
        <f>IF(COUNTIF(S:S,S26)&gt;1,0,1)</f>
        <v>1</v>
      </c>
      <c r="V26" s="66" t="str">
        <f t="shared" ref="V26" si="65">H26</f>
        <v>NULL</v>
      </c>
      <c r="W26" s="66">
        <f t="shared" ref="W26" si="66">I26</f>
        <v>1</v>
      </c>
      <c r="X26" s="66" t="str">
        <f t="shared" ref="X26" si="67">O26</f>
        <v>NULL</v>
      </c>
      <c r="Y26" s="1">
        <v>0</v>
      </c>
      <c r="Z26" s="66" t="str">
        <f t="shared" ref="Z26" si="68">B26</f>
        <v>QGridLayout_M</v>
      </c>
      <c r="AA26" s="66">
        <f>W26</f>
        <v>1</v>
      </c>
      <c r="AB26" s="66" t="str">
        <f t="shared" ref="AB26" si="69">L26</f>
        <v>GuiStudyPro</v>
      </c>
    </row>
    <row r="27" spans="1:28" s="1" customFormat="1" ht="16.5" x14ac:dyDescent="0.15">
      <c r="A27" s="58">
        <f t="shared" si="3"/>
        <v>26</v>
      </c>
      <c r="B27" s="58" t="s">
        <v>100</v>
      </c>
      <c r="C27" s="59" t="s">
        <v>19</v>
      </c>
      <c r="D27" s="60">
        <v>0</v>
      </c>
      <c r="E27" s="60">
        <v>1</v>
      </c>
      <c r="F27" s="60">
        <v>1</v>
      </c>
      <c r="G27" s="60">
        <v>1</v>
      </c>
      <c r="H27" s="59" t="s">
        <v>19</v>
      </c>
      <c r="I27" s="60">
        <v>5</v>
      </c>
      <c r="J27" s="59" t="s">
        <v>19</v>
      </c>
      <c r="K27" s="59" t="s">
        <v>19</v>
      </c>
      <c r="L27" s="58" t="str">
        <f t="shared" si="31"/>
        <v>GuiStudyPro</v>
      </c>
      <c r="M27" s="60">
        <f>A23</f>
        <v>22</v>
      </c>
      <c r="N27" s="60">
        <f>A25</f>
        <v>24</v>
      </c>
      <c r="O27" s="59" t="s">
        <v>19</v>
      </c>
      <c r="P27" s="59" t="s">
        <v>19</v>
      </c>
      <c r="Q27" s="59" t="s">
        <v>19</v>
      </c>
      <c r="R27" s="61"/>
      <c r="S27" s="65" t="str">
        <f>LEFT(B27,LEN(B27)-2)&amp;I27</f>
        <v>QGridLayout5</v>
      </c>
      <c r="T27" s="65">
        <f>IF(COUNTIF(S:S,S27)&gt;1,0,1)</f>
        <v>1</v>
      </c>
      <c r="V27" s="66" t="str">
        <f t="shared" si="61"/>
        <v>NULL</v>
      </c>
      <c r="W27" s="66">
        <f t="shared" ref="W27" si="70">I27</f>
        <v>5</v>
      </c>
      <c r="X27" s="66" t="str">
        <f t="shared" si="62"/>
        <v>NULL</v>
      </c>
      <c r="Y27" s="1">
        <v>0</v>
      </c>
      <c r="Z27" s="66" t="str">
        <f t="shared" si="63"/>
        <v>QGridLayout_M</v>
      </c>
      <c r="AA27" s="66">
        <f>W27</f>
        <v>5</v>
      </c>
      <c r="AB27" s="66" t="str">
        <f t="shared" si="64"/>
        <v>GuiStudyPro</v>
      </c>
    </row>
  </sheetData>
  <phoneticPr fontId="2" type="noConversion"/>
  <conditionalFormatting sqref="T1">
    <cfRule type="cellIs" dxfId="59" priority="73" operator="lessThan">
      <formula>0.5</formula>
    </cfRule>
    <cfRule type="cellIs" dxfId="58" priority="74" operator="greaterThan">
      <formula>0</formula>
    </cfRule>
  </conditionalFormatting>
  <conditionalFormatting sqref="T2">
    <cfRule type="cellIs" dxfId="57" priority="71" operator="lessThan">
      <formula>0.5</formula>
    </cfRule>
    <cfRule type="cellIs" dxfId="56" priority="72" operator="greaterThan">
      <formula>0</formula>
    </cfRule>
  </conditionalFormatting>
  <conditionalFormatting sqref="T3">
    <cfRule type="cellIs" dxfId="55" priority="69" operator="lessThan">
      <formula>0.5</formula>
    </cfRule>
    <cfRule type="cellIs" dxfId="54" priority="70" operator="greaterThan">
      <formula>0</formula>
    </cfRule>
  </conditionalFormatting>
  <conditionalFormatting sqref="T4">
    <cfRule type="cellIs" dxfId="53" priority="67" operator="lessThan">
      <formula>0.5</formula>
    </cfRule>
    <cfRule type="cellIs" dxfId="52" priority="68" operator="greaterThan">
      <formula>0</formula>
    </cfRule>
  </conditionalFormatting>
  <conditionalFormatting sqref="T5">
    <cfRule type="cellIs" dxfId="51" priority="65" operator="lessThan">
      <formula>0.5</formula>
    </cfRule>
    <cfRule type="cellIs" dxfId="50" priority="66" operator="greaterThan">
      <formula>0</formula>
    </cfRule>
  </conditionalFormatting>
  <conditionalFormatting sqref="T11">
    <cfRule type="cellIs" dxfId="49" priority="61" operator="lessThan">
      <formula>0.5</formula>
    </cfRule>
    <cfRule type="cellIs" dxfId="48" priority="62" operator="greaterThan">
      <formula>0</formula>
    </cfRule>
  </conditionalFormatting>
  <conditionalFormatting sqref="T16">
    <cfRule type="cellIs" dxfId="47" priority="57" operator="lessThan">
      <formula>0.5</formula>
    </cfRule>
    <cfRule type="cellIs" dxfId="46" priority="58" operator="greaterThan">
      <formula>0</formula>
    </cfRule>
  </conditionalFormatting>
  <conditionalFormatting sqref="T17">
    <cfRule type="cellIs" dxfId="43" priority="55" operator="lessThan">
      <formula>0.5</formula>
    </cfRule>
    <cfRule type="cellIs" dxfId="42" priority="56" operator="greaterThan">
      <formula>0</formula>
    </cfRule>
  </conditionalFormatting>
  <conditionalFormatting sqref="T18">
    <cfRule type="cellIs" dxfId="41" priority="53" operator="lessThan">
      <formula>0.5</formula>
    </cfRule>
    <cfRule type="cellIs" dxfId="40" priority="54" operator="greaterThan">
      <formula>0</formula>
    </cfRule>
  </conditionalFormatting>
  <conditionalFormatting sqref="T19">
    <cfRule type="cellIs" dxfId="39" priority="51" operator="lessThan">
      <formula>0.5</formula>
    </cfRule>
    <cfRule type="cellIs" dxfId="38" priority="52" operator="greaterThan">
      <formula>0</formula>
    </cfRule>
  </conditionalFormatting>
  <conditionalFormatting sqref="T20">
    <cfRule type="cellIs" dxfId="35" priority="45" operator="lessThan">
      <formula>0.5</formula>
    </cfRule>
    <cfRule type="cellIs" dxfId="34" priority="46" operator="greaterThan">
      <formula>0</formula>
    </cfRule>
  </conditionalFormatting>
  <conditionalFormatting sqref="T25">
    <cfRule type="cellIs" dxfId="33" priority="33" operator="lessThan">
      <formula>0.5</formula>
    </cfRule>
    <cfRule type="cellIs" dxfId="32" priority="34" operator="greaterThan">
      <formula>0</formula>
    </cfRule>
  </conditionalFormatting>
  <conditionalFormatting sqref="T27">
    <cfRule type="cellIs" dxfId="31" priority="31" operator="lessThan">
      <formula>0.5</formula>
    </cfRule>
    <cfRule type="cellIs" dxfId="30" priority="32" operator="greaterThan">
      <formula>0</formula>
    </cfRule>
  </conditionalFormatting>
  <conditionalFormatting sqref="T8">
    <cfRule type="cellIs" dxfId="29" priority="29" operator="lessThan">
      <formula>0.5</formula>
    </cfRule>
    <cfRule type="cellIs" dxfId="28" priority="30" operator="greaterThan">
      <formula>0</formula>
    </cfRule>
  </conditionalFormatting>
  <conditionalFormatting sqref="T7">
    <cfRule type="cellIs" dxfId="25" priority="25" operator="lessThan">
      <formula>0.5</formula>
    </cfRule>
    <cfRule type="cellIs" dxfId="24" priority="26" operator="greaterThan">
      <formula>0</formula>
    </cfRule>
  </conditionalFormatting>
  <conditionalFormatting sqref="T9">
    <cfRule type="cellIs" dxfId="23" priority="23" operator="lessThan">
      <formula>0.5</formula>
    </cfRule>
    <cfRule type="cellIs" dxfId="22" priority="24" operator="greaterThan">
      <formula>0</formula>
    </cfRule>
  </conditionalFormatting>
  <conditionalFormatting sqref="T12">
    <cfRule type="cellIs" dxfId="21" priority="21" operator="lessThan">
      <formula>0.5</formula>
    </cfRule>
    <cfRule type="cellIs" dxfId="20" priority="22" operator="greaterThan">
      <formula>0</formula>
    </cfRule>
  </conditionalFormatting>
  <conditionalFormatting sqref="T13">
    <cfRule type="cellIs" dxfId="19" priority="19" operator="lessThan">
      <formula>0.5</formula>
    </cfRule>
    <cfRule type="cellIs" dxfId="18" priority="20" operator="greaterThan">
      <formula>0</formula>
    </cfRule>
  </conditionalFormatting>
  <conditionalFormatting sqref="T14">
    <cfRule type="cellIs" dxfId="17" priority="17" operator="lessThan">
      <formula>0.5</formula>
    </cfRule>
    <cfRule type="cellIs" dxfId="16" priority="18" operator="greaterThan">
      <formula>0</formula>
    </cfRule>
  </conditionalFormatting>
  <conditionalFormatting sqref="T15">
    <cfRule type="cellIs" dxfId="15" priority="15" operator="lessThan">
      <formula>0.5</formula>
    </cfRule>
    <cfRule type="cellIs" dxfId="14" priority="16" operator="greaterThan">
      <formula>0</formula>
    </cfRule>
  </conditionalFormatting>
  <conditionalFormatting sqref="T6">
    <cfRule type="cellIs" dxfId="13" priority="13" operator="lessThan">
      <formula>0.5</formula>
    </cfRule>
    <cfRule type="cellIs" dxfId="12" priority="14" operator="greaterThan">
      <formula>0</formula>
    </cfRule>
  </conditionalFormatting>
  <conditionalFormatting sqref="T10">
    <cfRule type="cellIs" dxfId="11" priority="11" operator="lessThan">
      <formula>0.5</formula>
    </cfRule>
    <cfRule type="cellIs" dxfId="10" priority="12" operator="greaterThan">
      <formula>0</formula>
    </cfRule>
  </conditionalFormatting>
  <conditionalFormatting sqref="T26">
    <cfRule type="cellIs" dxfId="9" priority="9" operator="lessThan">
      <formula>0.5</formula>
    </cfRule>
    <cfRule type="cellIs" dxfId="8" priority="10" operator="greaterThan">
      <formula>0</formula>
    </cfRule>
  </conditionalFormatting>
  <conditionalFormatting sqref="T23">
    <cfRule type="cellIs" dxfId="7" priority="7" operator="lessThan">
      <formula>0.5</formula>
    </cfRule>
    <cfRule type="cellIs" dxfId="6" priority="8" operator="greaterThan">
      <formula>0</formula>
    </cfRule>
  </conditionalFormatting>
  <conditionalFormatting sqref="T24">
    <cfRule type="cellIs" dxfId="5" priority="5" operator="lessThan">
      <formula>0.5</formula>
    </cfRule>
    <cfRule type="cellIs" dxfId="4" priority="6" operator="greaterThan">
      <formula>0</formula>
    </cfRule>
  </conditionalFormatting>
  <conditionalFormatting sqref="T21">
    <cfRule type="cellIs" dxfId="3" priority="3" operator="lessThan">
      <formula>0.5</formula>
    </cfRule>
    <cfRule type="cellIs" dxfId="2" priority="4" operator="greaterThan">
      <formula>0</formula>
    </cfRule>
  </conditionalFormatting>
  <conditionalFormatting sqref="T22">
    <cfRule type="cellIs" dxfId="1" priority="1" operator="lessThan">
      <formula>0.5</formula>
    </cfRule>
    <cfRule type="cellIs" dxfId="0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M2:M17 I18:I27 D2:E27">
      <formula1>0</formula1>
      <formula2>499</formula2>
    </dataValidation>
    <dataValidation type="whole" allowBlank="1" showInputMessage="1" showErrorMessage="1" errorTitle="输入值无效" error="请输入1-100的整数" sqref="F2:G27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AllNoChange!$G$2</xm:f>
          </x14:formula1>
          <xm:sqref>C8 P16 H16:I16 K17:K18 N17:Q17 J18 H8:K8 O10:Q10 M25:O25 N8:O8 P11:Q11 J12:J15 N11 J2:J7 O12:Q15 H12:H15 H2:H7 O2:Q7 N9 P8:Q9 J9:K9 J10 H10 N23:O24 J19:K22 O18:Q22 C16 C18:C22 H17:H27 O26:Q27 C26:C27 J26:K27</xm:sqref>
        </x14:dataValidation>
        <x14:dataValidation type="list" allowBlank="1" showInputMessage="1" showErrorMessage="1">
          <x14:formula1>
            <xm:f>AllNoChange!$C$2:$C$5</xm:f>
          </x14:formula1>
          <xm:sqref>J17 J11</xm:sqref>
        </x14:dataValidation>
        <x14:dataValidation type="list" allowBlank="1" showInputMessage="1" showErrorMessage="1">
          <x14:formula1>
            <xm:f>AllNoChange!$B$2:$B$5</xm:f>
          </x14:formula1>
          <xm:sqref>I17 I11</xm:sqref>
        </x14:dataValidation>
        <x14:dataValidation type="list" allowBlank="1" showInputMessage="1" showErrorMessage="1">
          <x14:formula1>
            <xm:f>AllNoChange!$G$6:$G$8</xm:f>
          </x14:formula1>
          <xm:sqref>P23:P25</xm:sqref>
        </x14:dataValidation>
        <x14:dataValidation type="list" allowBlank="1" showInputMessage="1" showErrorMessage="1">
          <x14:formula1>
            <xm:f>AllNoChange!$F$6:$F$7</xm:f>
          </x14:formula1>
          <xm:sqref>K23:K25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Q23:Q25</xm:sqref>
        </x14:dataValidation>
        <x14:dataValidation type="list" allowBlank="1" showInputMessage="1" showErrorMessage="1">
          <x14:formula1>
            <xm:f>AllNoChange!$A$2:$A$18</xm:f>
          </x14:formula1>
          <xm:sqref>B11 B8:B9 B16:B22 B25:B27</xm:sqref>
        </x14:dataValidation>
        <x14:dataValidation type="list" allowBlank="1" showInputMessage="1" showErrorMessage="1">
          <x14:formula1>
            <xm:f>AllNoChange!$A$2:$A$16</xm:f>
          </x14:formula1>
          <xm:sqref>B12:B15 B2:B7 B10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N12:N15 N2:N7 N10</xm:sqref>
        </x14:dataValidation>
        <x14:dataValidation type="list" errorStyle="warning" allowBlank="1" showInputMessage="1" showErrorMessage="1">
          <x14:formula1>
            <xm:f>AllNoChange!$G$2</xm:f>
          </x14:formula1>
          <xm:sqref>K11 M23:M24</xm:sqref>
        </x14:dataValidation>
        <x14:dataValidation type="list" errorStyle="warning" allowBlank="1" showInputMessage="1" showErrorMessage="1">
          <x14:formula1>
            <xm:f>AllNoChange!$B$6</xm:f>
          </x14:formula1>
          <xm:sqref>K12:K15</xm:sqref>
        </x14:dataValidation>
        <x14:dataValidation type="list" allowBlank="1" showInputMessage="1" showErrorMessage="1">
          <x14:formula1>
            <xm:f>AllNoChange!$A$2:$A$22</xm:f>
          </x14:formula1>
          <xm:sqref>B23:B24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2018-07-08T14:49:29Z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