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Cplus_study\QT_HPC_study\QT_HPC_study\ConfigurationFolder\"/>
    </mc:Choice>
  </mc:AlternateContent>
  <bookViews>
    <workbookView xWindow="13350" yWindow="0" windowWidth="13185" windowHeight="12585" activeTab="3"/>
  </bookViews>
  <sheets>
    <sheet name="BASEGUI" sheetId="10" r:id="rId1"/>
    <sheet name="AllNoChange" sheetId="9" r:id="rId2"/>
    <sheet name="FatigueAdvanceGui" sheetId="7" r:id="rId3"/>
    <sheet name="StudyGUI" sheetId="11" r:id="rId4"/>
  </sheets>
  <functionGroups builtInGroupCount="18"/>
  <definedNames>
    <definedName name="_xlnm._FilterDatabase" localSheetId="0" hidden="1">BASEGUI!$A$1:$Q$18</definedName>
  </definedNames>
  <calcPr calcId="152511"/>
</workbook>
</file>

<file path=xl/calcChain.xml><?xml version="1.0" encoding="utf-8"?>
<calcChain xmlns="http://schemas.openxmlformats.org/spreadsheetml/2006/main">
  <c r="AB17" i="10" l="1"/>
  <c r="AA17" i="10"/>
  <c r="Z17" i="10"/>
  <c r="X17" i="10"/>
  <c r="W17" i="10"/>
  <c r="V17" i="10"/>
  <c r="S17" i="10"/>
  <c r="T17" i="10" s="1"/>
  <c r="A17" i="10"/>
  <c r="N17" i="11" l="1"/>
  <c r="M17" i="11"/>
  <c r="J16" i="11"/>
  <c r="AA17" i="11"/>
  <c r="Z17" i="11"/>
  <c r="X17" i="11"/>
  <c r="W17" i="11"/>
  <c r="V17" i="11"/>
  <c r="S17" i="11"/>
  <c r="L17" i="11"/>
  <c r="AB17" i="11" s="1"/>
  <c r="A17" i="11"/>
  <c r="N12" i="11"/>
  <c r="AA7" i="11"/>
  <c r="Z7" i="11"/>
  <c r="X7" i="11"/>
  <c r="W7" i="11"/>
  <c r="V7" i="11"/>
  <c r="S7" i="11"/>
  <c r="L7" i="11"/>
  <c r="AB7" i="11" s="1"/>
  <c r="A7" i="11"/>
  <c r="Z18" i="11"/>
  <c r="X18" i="11"/>
  <c r="W18" i="11"/>
  <c r="AA18" i="11" s="1"/>
  <c r="V18" i="11"/>
  <c r="S18" i="11"/>
  <c r="L18" i="11"/>
  <c r="AB18" i="11" s="1"/>
  <c r="A18" i="11"/>
  <c r="Z16" i="11"/>
  <c r="X16" i="11"/>
  <c r="W16" i="11"/>
  <c r="V16" i="11"/>
  <c r="L16" i="11"/>
  <c r="AB16" i="11" s="1"/>
  <c r="I16" i="11"/>
  <c r="A16" i="11"/>
  <c r="N18" i="11" s="1"/>
  <c r="A14" i="11"/>
  <c r="L14" i="11"/>
  <c r="AB14" i="11" s="1"/>
  <c r="S14" i="11"/>
  <c r="V14" i="11"/>
  <c r="W14" i="11"/>
  <c r="AA14" i="11" s="1"/>
  <c r="X14" i="11"/>
  <c r="Z14" i="11"/>
  <c r="AA15" i="11"/>
  <c r="Z15" i="11"/>
  <c r="X15" i="11"/>
  <c r="W15" i="11"/>
  <c r="V15" i="11"/>
  <c r="S15" i="11"/>
  <c r="L15" i="11"/>
  <c r="AB15" i="11" s="1"/>
  <c r="A15" i="11"/>
  <c r="M18" i="11" s="1"/>
  <c r="S12" i="10"/>
  <c r="AA13" i="11"/>
  <c r="Z13" i="11"/>
  <c r="X13" i="11"/>
  <c r="W13" i="11"/>
  <c r="V13" i="11"/>
  <c r="S13" i="11"/>
  <c r="L13" i="11"/>
  <c r="AB13" i="11" s="1"/>
  <c r="A13" i="11"/>
  <c r="N14" i="11" s="1"/>
  <c r="Z12" i="11"/>
  <c r="X12" i="11"/>
  <c r="W12" i="11"/>
  <c r="AA12" i="11" s="1"/>
  <c r="V12" i="11"/>
  <c r="S12" i="11"/>
  <c r="L12" i="11"/>
  <c r="AB12" i="11" s="1"/>
  <c r="A12" i="11"/>
  <c r="M14" i="11" s="1"/>
  <c r="L11" i="11"/>
  <c r="AB11" i="11" s="1"/>
  <c r="L8" i="11"/>
  <c r="AB8" i="11" s="1"/>
  <c r="L6" i="11"/>
  <c r="AB6" i="11" s="1"/>
  <c r="L5" i="11"/>
  <c r="AB5" i="11" s="1"/>
  <c r="L4" i="11"/>
  <c r="AB4" i="11" s="1"/>
  <c r="L3" i="11"/>
  <c r="AB3" i="11" s="1"/>
  <c r="AA11" i="11"/>
  <c r="Z11" i="11"/>
  <c r="X11" i="11"/>
  <c r="W11" i="11"/>
  <c r="V11" i="11"/>
  <c r="S11" i="11"/>
  <c r="A11" i="11"/>
  <c r="AA10" i="11"/>
  <c r="Z10" i="11"/>
  <c r="X10" i="11"/>
  <c r="W10" i="11"/>
  <c r="V10" i="11"/>
  <c r="S10" i="11"/>
  <c r="L10" i="11"/>
  <c r="AB10" i="11" s="1"/>
  <c r="A10" i="11"/>
  <c r="AA9" i="11"/>
  <c r="Z9" i="11"/>
  <c r="X9" i="11"/>
  <c r="W9" i="11"/>
  <c r="V9" i="11"/>
  <c r="S9" i="11"/>
  <c r="L9" i="11"/>
  <c r="AB9" i="11" s="1"/>
  <c r="A9" i="11"/>
  <c r="N15" i="11" s="1"/>
  <c r="AA8" i="11"/>
  <c r="Z8" i="11"/>
  <c r="W8" i="11"/>
  <c r="V8" i="11"/>
  <c r="S8" i="11"/>
  <c r="O8" i="11"/>
  <c r="X8" i="11" s="1"/>
  <c r="A8" i="11"/>
  <c r="N13" i="11" s="1"/>
  <c r="AA6" i="11"/>
  <c r="Z6" i="11"/>
  <c r="X6" i="11"/>
  <c r="W6" i="11"/>
  <c r="V6" i="11"/>
  <c r="S6" i="11"/>
  <c r="A6" i="11"/>
  <c r="AA5" i="11"/>
  <c r="Z5" i="11"/>
  <c r="X5" i="11"/>
  <c r="W5" i="11"/>
  <c r="V5" i="11"/>
  <c r="S5" i="11"/>
  <c r="A5" i="11"/>
  <c r="AA4" i="11"/>
  <c r="Z4" i="11"/>
  <c r="X4" i="11"/>
  <c r="W4" i="11"/>
  <c r="V4" i="11"/>
  <c r="S4" i="11"/>
  <c r="A4" i="11"/>
  <c r="AA3" i="11"/>
  <c r="Z3" i="11"/>
  <c r="X3" i="11"/>
  <c r="W3" i="11"/>
  <c r="V3" i="11"/>
  <c r="S3" i="11"/>
  <c r="A3" i="11"/>
  <c r="AA2" i="11"/>
  <c r="Z2" i="11"/>
  <c r="X2" i="11"/>
  <c r="W2" i="11"/>
  <c r="V2" i="11"/>
  <c r="S2" i="11"/>
  <c r="A2" i="11"/>
  <c r="M12" i="11" s="1"/>
  <c r="AA1" i="11"/>
  <c r="Z1" i="11"/>
  <c r="X1" i="11"/>
  <c r="W1" i="11"/>
  <c r="V1" i="11"/>
  <c r="T17" i="11" l="1"/>
  <c r="T7" i="11"/>
  <c r="M13" i="11"/>
  <c r="AA16" i="11"/>
  <c r="T18" i="11"/>
  <c r="S16" i="11"/>
  <c r="M15" i="11"/>
  <c r="AA1" i="7"/>
  <c r="Z1" i="7"/>
  <c r="X1" i="7"/>
  <c r="W1" i="7"/>
  <c r="V1" i="7"/>
  <c r="T16" i="11" l="1"/>
  <c r="S42" i="7"/>
  <c r="S41" i="7"/>
  <c r="S39" i="7"/>
  <c r="S37" i="7"/>
  <c r="S35" i="7"/>
  <c r="S34" i="7"/>
  <c r="S32" i="7"/>
  <c r="S44" i="7"/>
  <c r="S45" i="7"/>
  <c r="S46" i="7"/>
  <c r="S47" i="7"/>
  <c r="S8" i="7"/>
  <c r="S11" i="7"/>
  <c r="S14" i="7"/>
  <c r="S15" i="7"/>
  <c r="S16" i="7"/>
  <c r="S17" i="7"/>
  <c r="S18" i="7"/>
  <c r="S19" i="7"/>
  <c r="S22" i="7"/>
  <c r="S25" i="7"/>
  <c r="S28" i="7"/>
  <c r="S5" i="7"/>
  <c r="S2" i="7"/>
  <c r="S11" i="10"/>
  <c r="S9" i="10"/>
  <c r="S3" i="10"/>
  <c r="S4" i="10"/>
  <c r="S5" i="10"/>
  <c r="S6" i="10"/>
  <c r="S7" i="10"/>
  <c r="S8" i="10"/>
  <c r="S14" i="10"/>
  <c r="S15" i="10"/>
  <c r="S16" i="10"/>
  <c r="S18" i="10"/>
  <c r="S2" i="10"/>
  <c r="T6" i="11" l="1"/>
  <c r="T3" i="11"/>
  <c r="T2" i="11"/>
  <c r="T15" i="11"/>
  <c r="T14" i="11"/>
  <c r="T11" i="11"/>
  <c r="T5" i="11"/>
  <c r="T12" i="11"/>
  <c r="T4" i="11"/>
  <c r="T8" i="11"/>
  <c r="T9" i="11"/>
  <c r="T10" i="11"/>
  <c r="T13" i="11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8" i="10"/>
  <c r="L19" i="10"/>
  <c r="L3" i="10"/>
  <c r="A9" i="10"/>
  <c r="N12" i="10" s="1"/>
  <c r="A10" i="10"/>
  <c r="M13" i="10" s="1"/>
  <c r="A11" i="10"/>
  <c r="A12" i="10"/>
  <c r="N13" i="10" s="1"/>
  <c r="A13" i="10"/>
  <c r="A14" i="10"/>
  <c r="A15" i="10"/>
  <c r="A16" i="10"/>
  <c r="A18" i="10"/>
  <c r="A7" i="10"/>
  <c r="M12" i="10" s="1"/>
  <c r="A6" i="10"/>
  <c r="N11" i="10" s="1"/>
  <c r="A5" i="10"/>
  <c r="A4" i="10"/>
  <c r="N9" i="10" s="1"/>
  <c r="A3" i="10"/>
  <c r="A2" i="10"/>
  <c r="M9" i="10" s="1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8" i="10"/>
  <c r="T14" i="10"/>
  <c r="T8" i="10"/>
  <c r="T7" i="10"/>
  <c r="T15" i="10"/>
  <c r="T2" i="10"/>
  <c r="T12" i="10"/>
  <c r="T11" i="10"/>
  <c r="T13" i="10"/>
  <c r="AB31" i="7"/>
  <c r="Z31" i="7"/>
  <c r="X31" i="7"/>
  <c r="W31" i="7"/>
  <c r="V31" i="7"/>
  <c r="E31" i="7"/>
  <c r="AB30" i="7"/>
  <c r="Z30" i="7"/>
  <c r="X30" i="7"/>
  <c r="W30" i="7"/>
  <c r="V30" i="7"/>
  <c r="AB24" i="7"/>
  <c r="Z24" i="7"/>
  <c r="X24" i="7"/>
  <c r="W24" i="7"/>
  <c r="V24" i="7"/>
  <c r="AB27" i="7"/>
  <c r="Z27" i="7"/>
  <c r="X27" i="7"/>
  <c r="W27" i="7"/>
  <c r="V27" i="7"/>
  <c r="M27" i="7"/>
  <c r="Z29" i="7"/>
  <c r="W29" i="7"/>
  <c r="V29" i="7"/>
  <c r="O29" i="7"/>
  <c r="X29" i="7" s="1"/>
  <c r="M29" i="7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L26" i="7"/>
  <c r="AB26" i="7" s="1"/>
  <c r="E26" i="7"/>
  <c r="D26" i="7"/>
  <c r="AB25" i="7"/>
  <c r="AA25" i="7"/>
  <c r="Z25" i="7"/>
  <c r="X25" i="7"/>
  <c r="W25" i="7"/>
  <c r="V25" i="7"/>
  <c r="AA26" i="7" l="1"/>
  <c r="S26" i="7"/>
  <c r="AA29" i="7"/>
  <c r="S29" i="7"/>
  <c r="M30" i="7"/>
  <c r="AA27" i="7"/>
  <c r="S27" i="7"/>
  <c r="E20" i="7"/>
  <c r="AB18" i="7"/>
  <c r="AA18" i="7"/>
  <c r="Z18" i="7"/>
  <c r="X18" i="7"/>
  <c r="W18" i="7"/>
  <c r="V18" i="7"/>
  <c r="AA30" i="7" l="1"/>
  <c r="S30" i="7"/>
  <c r="M31" i="7"/>
  <c r="AB41" i="7"/>
  <c r="Z41" i="7"/>
  <c r="X41" i="7"/>
  <c r="W41" i="7"/>
  <c r="AA41" i="7" s="1"/>
  <c r="V41" i="7"/>
  <c r="AB43" i="7"/>
  <c r="Z43" i="7"/>
  <c r="X43" i="7"/>
  <c r="W43" i="7"/>
  <c r="V43" i="7"/>
  <c r="J43" i="7"/>
  <c r="I43" i="7"/>
  <c r="AB42" i="7"/>
  <c r="AA42" i="7"/>
  <c r="Z42" i="7"/>
  <c r="X42" i="7"/>
  <c r="W42" i="7"/>
  <c r="V42" i="7"/>
  <c r="M23" i="7"/>
  <c r="S23" i="7" s="1"/>
  <c r="Z23" i="7"/>
  <c r="W23" i="7"/>
  <c r="V23" i="7"/>
  <c r="O23" i="7"/>
  <c r="X23" i="7" s="1"/>
  <c r="L23" i="7"/>
  <c r="AB23" i="7" s="1"/>
  <c r="E23" i="7"/>
  <c r="D23" i="7"/>
  <c r="AB22" i="7"/>
  <c r="AA22" i="7"/>
  <c r="Z22" i="7"/>
  <c r="X22" i="7"/>
  <c r="W22" i="7"/>
  <c r="V22" i="7"/>
  <c r="S31" i="7" l="1"/>
  <c r="AA31" i="7"/>
  <c r="AA43" i="7"/>
  <c r="S43" i="7"/>
  <c r="AA23" i="7"/>
  <c r="M24" i="7"/>
  <c r="AA17" i="7"/>
  <c r="AA24" i="7" l="1"/>
  <c r="S24" i="7"/>
  <c r="O3" i="7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M20" i="7"/>
  <c r="AA20" i="7" l="1"/>
  <c r="S20" i="7"/>
  <c r="M41" i="7"/>
  <c r="M21" i="7"/>
  <c r="S21" i="7" s="1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AB34" i="7"/>
  <c r="Z34" i="7"/>
  <c r="X34" i="7"/>
  <c r="W34" i="7"/>
  <c r="AA34" i="7" s="1"/>
  <c r="V34" i="7"/>
  <c r="AB38" i="7"/>
  <c r="Z38" i="7"/>
  <c r="X38" i="7"/>
  <c r="V38" i="7"/>
  <c r="J38" i="7"/>
  <c r="I38" i="7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AB10" i="7"/>
  <c r="E9" i="7"/>
  <c r="AB8" i="7"/>
  <c r="AA8" i="7"/>
  <c r="Z8" i="7"/>
  <c r="X8" i="7"/>
  <c r="W8" i="7"/>
  <c r="V8" i="7"/>
  <c r="M12" i="7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L3" i="7"/>
  <c r="AB3" i="7" s="1"/>
  <c r="E3" i="7"/>
  <c r="D3" i="7"/>
  <c r="AB2" i="7"/>
  <c r="AB1" i="7" s="1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B39" i="7"/>
  <c r="AA39" i="7"/>
  <c r="Z39" i="7"/>
  <c r="X39" i="7"/>
  <c r="W39" i="7"/>
  <c r="V39" i="7"/>
  <c r="AB33" i="7"/>
  <c r="Z33" i="7"/>
  <c r="X33" i="7"/>
  <c r="V33" i="7"/>
  <c r="J33" i="7"/>
  <c r="I33" i="7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W33" i="7" l="1"/>
  <c r="AA33" i="7" s="1"/>
  <c r="S33" i="7"/>
  <c r="AA40" i="7"/>
  <c r="S40" i="7"/>
  <c r="M13" i="7"/>
  <c r="S12" i="7"/>
  <c r="W36" i="7"/>
  <c r="AA36" i="7" s="1"/>
  <c r="S36" i="7"/>
  <c r="AA6" i="7"/>
  <c r="S6" i="7"/>
  <c r="W38" i="7"/>
  <c r="AA38" i="7" s="1"/>
  <c r="S38" i="7"/>
  <c r="M10" i="7"/>
  <c r="S9" i="7"/>
  <c r="M4" i="7"/>
  <c r="S3" i="7"/>
  <c r="AA12" i="7"/>
  <c r="AB9" i="7"/>
  <c r="AA9" i="7"/>
  <c r="M7" i="7"/>
  <c r="L4" i="7"/>
  <c r="AB4" i="7" s="1"/>
  <c r="AA3" i="7"/>
  <c r="L7" i="7"/>
  <c r="AB7" i="7" s="1"/>
  <c r="AA10" i="7" l="1"/>
  <c r="S10" i="7"/>
  <c r="AA7" i="7"/>
  <c r="S7" i="7"/>
  <c r="T44" i="7"/>
  <c r="T47" i="7"/>
  <c r="T14" i="7"/>
  <c r="T18" i="7"/>
  <c r="T26" i="7"/>
  <c r="T23" i="7"/>
  <c r="T30" i="7"/>
  <c r="T43" i="7"/>
  <c r="T31" i="7"/>
  <c r="T24" i="7"/>
  <c r="AA4" i="7"/>
  <c r="S4" i="7"/>
  <c r="T41" i="7" s="1"/>
  <c r="AA13" i="7"/>
  <c r="S13" i="7"/>
  <c r="T13" i="7" s="1"/>
  <c r="T40" i="7"/>
  <c r="T9" i="7"/>
  <c r="T33" i="7"/>
  <c r="N41" i="7"/>
  <c r="AA21" i="7"/>
  <c r="N32" i="7"/>
  <c r="T27" i="7" l="1"/>
  <c r="T39" i="7"/>
  <c r="T46" i="7"/>
  <c r="T25" i="7"/>
  <c r="T35" i="7"/>
  <c r="T29" i="7"/>
  <c r="T22" i="7"/>
  <c r="T7" i="7"/>
  <c r="T4" i="7"/>
  <c r="T21" i="7"/>
  <c r="T20" i="7"/>
  <c r="T3" i="7"/>
  <c r="T11" i="7"/>
  <c r="T8" i="7"/>
  <c r="T34" i="7"/>
  <c r="T10" i="7"/>
  <c r="T12" i="7"/>
  <c r="T16" i="7"/>
  <c r="T32" i="7"/>
  <c r="T17" i="7"/>
  <c r="T45" i="7"/>
  <c r="T38" i="7"/>
  <c r="T19" i="7"/>
  <c r="T15" i="7"/>
  <c r="T37" i="7"/>
  <c r="T28" i="7"/>
  <c r="T42" i="7"/>
  <c r="T36" i="7"/>
  <c r="T5" i="7"/>
  <c r="T2" i="7"/>
  <c r="T6" i="7"/>
  <c r="M42" i="7"/>
  <c r="M43" i="7" s="1"/>
  <c r="M34" i="7"/>
  <c r="N43" i="7" l="1"/>
  <c r="N34" i="7"/>
  <c r="M35" i="7" l="1"/>
  <c r="N37" i="7"/>
  <c r="M37" i="7"/>
  <c r="N35" i="7" l="1"/>
  <c r="N39" i="7"/>
  <c r="M39" i="7"/>
  <c r="AB2" i="11"/>
  <c r="AB1" i="11" s="1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desc：可自动伸缩的Group组件；不能单独存在，必须包含布局组件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desc：作为textedit组件，显示字符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3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<sst xmlns="http://schemas.openxmlformats.org/spreadsheetml/2006/main" count="886" uniqueCount="153">
  <si>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</si>
  <si>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</si>
  <si>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</si>
  <si>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</si>
  <si>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</si>
  <si>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</si>
  <si>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</si>
  <si>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</si>
  <si>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</si>
  <si>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</si>
  <si>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</si>
  <si>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</si>
  <si>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</si>
  <si>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</si>
  <si>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</si>
  <si>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</si>
  <si>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</si>
  <si>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</si>
  <si>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</si>
  <si>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</si>
  <si>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</si>
  <si>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</si>
  <si>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</si>
  <si>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</si>
  <si>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</si>
  <si>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</si>
  <si>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</si>
  <si>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</si>
  <si>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</si>
  <si>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</si>
  <si>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</si>
  <si>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</si>
  <si>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</si>
  <si>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</si>
  <si>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</si>
  <si>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</si>
  <si>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</si>
  <si>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</si>
  <si>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</si>
  <si>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</si>
  <si>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</si>
  <si>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</si>
  <si>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</si>
  <si>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</si>
  <si>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</si>
  <si>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</si>
  <si>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</si>
  <si>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</si>
  <si>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</si>
  <si>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</si>
  <si>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</si>
  <si>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</si>
  <si>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</si>
  <si>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</si>
  <si>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</si>
  <si>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</si>
  <si>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</si>
  <si>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</si>
  <si>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</si>
  <si>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</si>
  <si>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</si>
  <si>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</si>
  <si>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</si>
  <si>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</si>
  <si>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</si>
  <si>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</si>
  <si>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</si>
  <si>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</si>
  <si>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</si>
  <si>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</si>
  <si>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</si>
  <si>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</si>
  <si>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</si>
  <si>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</si>
  <si>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</si>
  <si>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</si>
  <si>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</si>
  <si>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</si>
  <si>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</si>
  <si>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</si>
  <si>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</si>
  <si>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</si>
  <si>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</si>
  <si>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</si>
  <si>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</si>
  <si>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</si>
  <si>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</si>
  <si>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</si>
  <si>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</si>
  <si>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</si>
  <si>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</si>
  <si>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</si>
  <si>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</si>
  <si>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</si>
  <si>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</si>
  <si>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</si>
  <si>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</si>
  <si>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</si>
  <si>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</si>
  <si>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</si>
  <si>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</si>
  <si>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</si>
  <si>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</si>
  <si>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</si>
  <si>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</si>
  <si>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</si>
  <si>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</si>
  <si>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</si>
  <si>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</si>
  <si>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</si>
  <si>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</si>
  <si>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</si>
  <si>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</si>
  <si>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</si>
  <si>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</si>
  <si>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</si>
  <si>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</si>
  <si>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</si>
  <si>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</si>
  <si>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</si>
  <si>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</si>
  <si>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</si>
  <si>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</si>
  <si>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</si>
  <si>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</si>
  <si>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</si>
  <si>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</si>
  <si>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</si>
  <si>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</si>
  <si>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</si>
  <si>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</si>
  <si>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</si>
  <si>
    <t>GuiStudyPro</t>
    <phoneticPr fontId="2" type="noConversion"/>
  </si>
  <si>
    <t>ConfigurationFolder\images\blue_open.png</t>
    <phoneticPr fontId="2" type="noConversion"/>
  </si>
  <si>
    <t>ConfigurationFolder\images\blue_save.png</t>
    <phoneticPr fontId="2" type="noConversion"/>
  </si>
  <si>
    <t>ConfigurationFolder\images\blue_edit.png</t>
    <phoneticPr fontId="2" type="noConversion"/>
  </si>
  <si>
    <t>ConfigurationFolder\images\blue_yes.png</t>
    <phoneticPr fontId="2" type="noConversion"/>
  </si>
  <si>
    <t>ConfigurationFolder\images\blue_atta.png</t>
    <phoneticPr fontId="2" type="noConversion"/>
  </si>
  <si>
    <t>QTextEdit</t>
  </si>
  <si>
    <t>QTextEdit</t>
    <phoneticPr fontId="2" type="noConversion"/>
  </si>
  <si>
    <t>StudyCode</t>
    <phoneticPr fontId="2" type="noConversion"/>
  </si>
  <si>
    <t>Save</t>
    <phoneticPr fontId="2" type="noConversion"/>
  </si>
  <si>
    <t>Edit</t>
    <phoneticPr fontId="2" type="noConversion"/>
  </si>
  <si>
    <r>
      <t>Complete</t>
    </r>
    <r>
      <rPr>
        <sz val="11"/>
        <color theme="1"/>
        <rFont val="宋体"/>
        <family val="3"/>
        <charset val="134"/>
        <scheme val="minor"/>
      </rPr>
      <t xml:space="preserve"> Edit</t>
    </r>
    <phoneticPr fontId="2" type="noConversion"/>
  </si>
  <si>
    <r>
      <t>Add</t>
    </r>
    <r>
      <rPr>
        <sz val="11"/>
        <color theme="1"/>
        <rFont val="宋体"/>
        <family val="3"/>
        <charset val="134"/>
        <scheme val="minor"/>
      </rPr>
      <t xml:space="preserve"> attachment</t>
    </r>
    <phoneticPr fontId="2" type="noConversion"/>
  </si>
  <si>
    <t>ConfigurationFolder/GUIData/TestOutputHeader.csv</t>
    <phoneticPr fontId="2" type="noConversion"/>
  </si>
  <si>
    <t>ConfigurationFolder/GUIData/TestOutputTableData.csv</t>
    <phoneticPr fontId="2" type="noConversion"/>
  </si>
  <si>
    <t>OutputTableData</t>
    <phoneticPr fontId="2" type="noConversion"/>
  </si>
  <si>
    <t>OutputGroup</t>
    <phoneticPr fontId="2" type="noConversion"/>
  </si>
  <si>
    <r>
      <t>Open</t>
    </r>
    <r>
      <rPr>
        <sz val="11"/>
        <color theme="1"/>
        <rFont val="宋体"/>
        <family val="3"/>
        <charset val="134"/>
        <scheme val="minor"/>
      </rPr>
      <t xml:space="preserve"> file</t>
    </r>
    <phoneticPr fontId="2" type="noConversion"/>
  </si>
  <si>
    <t>Output</t>
    <phoneticPr fontId="3" type="noConversion"/>
  </si>
  <si>
    <t>QVBoxLayout</t>
    <phoneticPr fontId="2" type="noConversion"/>
  </si>
  <si>
    <t>QVBoxLayout_M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</si>
</sst>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9" fillId="11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0" fillId="12" borderId="1" xfId="0" applyFill="1" applyBorder="1" applyAlignment="1">
      <alignment horizontal="left" vertical="center"/>
    </xf>
    <xf numFmtId="0" fontId="9" fillId="12" borderId="1" xfId="0" applyFont="1" applyFill="1" applyBorder="1" applyAlignment="1">
      <alignment horizontal="left" vertical="center"/>
    </xf>
    <xf numFmtId="0" fontId="8" fillId="12" borderId="1" xfId="0" applyFont="1" applyFill="1" applyBorder="1" applyAlignment="1">
      <alignment horizontal="left" vertical="center"/>
    </xf>
    <xf numFmtId="0" fontId="8" fillId="12" borderId="0" xfId="0" applyFont="1" applyFill="1" applyAlignment="1">
      <alignment vertical="center"/>
    </xf>
    <xf numFmtId="0" fontId="8" fillId="9" borderId="1" xfId="0" applyFont="1" applyFill="1" applyBorder="1" applyAlignment="1">
      <alignment horizontal="left" vertical="center"/>
    </xf>
  </cellXfs>
  <cellStyles count="1">
    <cellStyle name="常规" xfId="0" builtinId="0"/>
  </cellStyles>
  <dxfs count="44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25</xdr:row>
      <xdr:rowOff>99391</xdr:rowOff>
    </xdr:from>
    <xdr:to>
      <xdr:col>8</xdr:col>
      <xdr:colOff>359040</xdr:colOff>
      <xdr:row>28</xdr:row>
      <xdr:rowOff>63301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25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24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25</xdr:row>
      <xdr:rowOff>107674</xdr:rowOff>
    </xdr:from>
    <xdr:to>
      <xdr:col>10</xdr:col>
      <xdr:colOff>2278554</xdr:colOff>
      <xdr:row>30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24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371475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361950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3"/>
  <sheetViews>
    <sheetView zoomScale="115" zoomScaleNormal="11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J17" sqref="I17:J17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8" si="3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>M:M</f>
        <v>1</v>
      </c>
      <c r="AB2" s="41" t="str">
        <f t="shared" ref="AB2:AB16" si="4">L2</f>
        <v>GuiF</v>
      </c>
    </row>
    <row r="3" spans="1:28" s="13" customFormat="1" ht="16.5" x14ac:dyDescent="0.15">
      <c r="A3" s="54">
        <f t="shared" si="3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8" si="5">B3&amp;M3</f>
        <v>QLineEdit0</v>
      </c>
      <c r="T3" s="40">
        <f>IF(COUNTIF(S:S,S3)&gt;1,0,1)</f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>M:M</f>
        <v>0</v>
      </c>
      <c r="AB3" s="11" t="str">
        <f t="shared" si="4"/>
        <v>GuiF</v>
      </c>
    </row>
    <row r="4" spans="1:28" s="13" customFormat="1" ht="16.5" x14ac:dyDescent="0.15">
      <c r="A4" s="54">
        <f t="shared" si="3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19" si="6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5"/>
        <v>QPushButton0</v>
      </c>
      <c r="T4" s="40">
        <f>IF(COUNTIF(S:S,S4)&gt;1,0,1)</f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>M:M</f>
        <v>0</v>
      </c>
      <c r="AB4" s="11" t="str">
        <f t="shared" si="4"/>
        <v>GuiF</v>
      </c>
    </row>
    <row r="5" spans="1:28" s="11" customFormat="1" ht="16.5" x14ac:dyDescent="0.15">
      <c r="A5" s="58">
        <f t="shared" si="3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6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5"/>
        <v>QComboBox0</v>
      </c>
      <c r="T5" s="40">
        <f>IF(COUNTIF(S:S,S5)&gt;1,0,1)</f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>M:M</f>
        <v>0</v>
      </c>
      <c r="AB5" s="11" t="str">
        <f t="shared" si="4"/>
        <v>GuiF</v>
      </c>
    </row>
    <row r="6" spans="1:28" s="11" customFormat="1" ht="16.5" x14ac:dyDescent="0.15">
      <c r="A6" s="58">
        <f t="shared" si="3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6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5"/>
        <v>QSpacerItem0</v>
      </c>
      <c r="T6" s="40">
        <f>IF(COUNTIF(S:S,S6)&gt;1,0,1)</f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>M:M</f>
        <v>0</v>
      </c>
      <c r="AB6" s="11" t="str">
        <f t="shared" si="4"/>
        <v>GuiF</v>
      </c>
    </row>
    <row r="7" spans="1:28" s="11" customFormat="1" ht="16.5" x14ac:dyDescent="0.15">
      <c r="A7" s="31">
        <f t="shared" si="3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6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5"/>
        <v>QTableWidget0</v>
      </c>
      <c r="T7" s="40">
        <f>IF(COUNTIF(S:S,S7)&gt;1,0,1)</f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>M:M</f>
        <v>0</v>
      </c>
      <c r="AB7" s="11" t="str">
        <f t="shared" si="4"/>
        <v>GuiF</v>
      </c>
    </row>
    <row r="8" spans="1:28" s="13" customFormat="1" ht="16.5" x14ac:dyDescent="0.15">
      <c r="A8" s="31">
        <f t="shared" si="3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6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5"/>
        <v>QRadioButton0</v>
      </c>
      <c r="T8" s="40">
        <f>IF(COUNTIF(S:S,S8)&gt;1,0,1)</f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>M:M</f>
        <v>0</v>
      </c>
      <c r="AB8" s="11" t="str">
        <f t="shared" si="4"/>
        <v>GuiF</v>
      </c>
    </row>
    <row r="9" spans="1:28" s="11" customFormat="1" ht="16.5" x14ac:dyDescent="0.15">
      <c r="A9" s="31">
        <f t="shared" si="3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6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>IF(COUNTIF(S:S,S9)&gt;1,0,1)</f>
        <v>1</v>
      </c>
      <c r="V9" s="11" t="str">
        <f t="shared" ref="V9:W13" si="7">H9</f>
        <v>NULL</v>
      </c>
      <c r="W9" s="11">
        <f t="shared" si="7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4"/>
        <v>GuiF</v>
      </c>
    </row>
    <row r="10" spans="1:28" s="11" customFormat="1" ht="16.5" x14ac:dyDescent="0.15">
      <c r="A10" s="15">
        <f t="shared" si="3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8">I9</f>
        <v>1</v>
      </c>
      <c r="K10" s="17" t="s">
        <v>33</v>
      </c>
      <c r="L10" s="15" t="str">
        <f t="shared" si="6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>IF(COUNTIF(S:S,S10)&gt;1,0,1)</f>
        <v>1</v>
      </c>
      <c r="V10" s="11" t="str">
        <f t="shared" si="7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4"/>
        <v>GuiF</v>
      </c>
    </row>
    <row r="11" spans="1:28" s="13" customFormat="1" ht="16.5" x14ac:dyDescent="0.15">
      <c r="A11" s="58">
        <f t="shared" si="3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6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>IF(COUNTIF(S:S,S11)&gt;1,0,1)</f>
        <v>1</v>
      </c>
      <c r="V11" s="11" t="str">
        <f t="shared" si="7"/>
        <v>NULL</v>
      </c>
      <c r="W11" s="11">
        <f t="shared" si="7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4"/>
        <v>GuiF</v>
      </c>
    </row>
    <row r="12" spans="1:28" s="13" customFormat="1" ht="16.5" x14ac:dyDescent="0.15">
      <c r="A12" s="31">
        <f t="shared" si="3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6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LEFT(B12,LEN(B12)-2)&amp;I12</f>
        <v>QHBoxLayout6</v>
      </c>
      <c r="T12" s="40">
        <f>IF(COUNTIF(S:S,S12)&gt;1,0,1)</f>
        <v>1</v>
      </c>
      <c r="V12" s="11" t="str">
        <f t="shared" si="7"/>
        <v>NULL</v>
      </c>
      <c r="W12" s="11">
        <f t="shared" si="7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4"/>
        <v>GuiF</v>
      </c>
    </row>
    <row r="13" spans="1:28" s="11" customFormat="1" ht="16.5" x14ac:dyDescent="0.15">
      <c r="A13" s="15">
        <f t="shared" si="3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9">I12</f>
        <v>6</v>
      </c>
      <c r="K13" s="16" t="s">
        <v>19</v>
      </c>
      <c r="L13" s="15" t="str">
        <f t="shared" si="6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>IF(COUNTIF(S:S,S13)&gt;1,0,1)</f>
        <v>1</v>
      </c>
      <c r="V13" s="11" t="str">
        <f t="shared" si="7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4"/>
        <v>GuiF</v>
      </c>
    </row>
    <row r="14" spans="1:28" s="23" customFormat="1" ht="16.5" x14ac:dyDescent="0.15">
      <c r="A14" s="21">
        <f t="shared" si="3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6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5"/>
        <v>UserDefined1</v>
      </c>
      <c r="T14" s="20">
        <f>IF(COUNTIF(S:S,S14)&gt;1,0,1)</f>
        <v>1</v>
      </c>
      <c r="V14" s="23" t="str">
        <f t="shared" ref="V14:W17" si="10">H14</f>
        <v>PathFile</v>
      </c>
      <c r="W14" s="23">
        <f t="shared" si="10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4"/>
        <v>GuiF</v>
      </c>
    </row>
    <row r="15" spans="1:28" s="11" customFormat="1" ht="16.5" x14ac:dyDescent="0.15">
      <c r="A15" s="15">
        <f t="shared" si="3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6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5"/>
        <v>UserDefined0</v>
      </c>
      <c r="T15" s="20">
        <f>IF(COUNTIF(S:S,S15)&gt;1,0,1)</f>
        <v>1</v>
      </c>
      <c r="V15" s="11" t="str">
        <f t="shared" si="10"/>
        <v>PathFile</v>
      </c>
      <c r="W15" s="11">
        <f t="shared" si="10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4"/>
        <v>GuiF</v>
      </c>
    </row>
    <row r="16" spans="1:28" s="23" customFormat="1" ht="16.5" x14ac:dyDescent="0.15">
      <c r="A16" s="21">
        <f t="shared" si="3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6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5"/>
        <v>Qlabel0</v>
      </c>
      <c r="T16" s="20">
        <f>IF(COUNTIF(S:S,S16)&gt;1,0,1)</f>
        <v>1</v>
      </c>
      <c r="V16" s="23" t="str">
        <f t="shared" si="10"/>
        <v>Picture</v>
      </c>
      <c r="W16" s="23" t="str">
        <f t="shared" si="10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4"/>
        <v>GuiF</v>
      </c>
    </row>
    <row r="17" spans="1:28" s="40" customFormat="1" ht="16.5" x14ac:dyDescent="0.15">
      <c r="A17" s="51">
        <f t="shared" si="3"/>
        <v>16</v>
      </c>
      <c r="B17" s="51" t="s">
        <v>138</v>
      </c>
      <c r="C17" s="52" t="s">
        <v>106</v>
      </c>
      <c r="D17" s="52">
        <v>0</v>
      </c>
      <c r="E17" s="52">
        <v>0</v>
      </c>
      <c r="F17" s="52">
        <v>1</v>
      </c>
      <c r="G17" s="52">
        <v>1</v>
      </c>
      <c r="H17" s="51" t="s">
        <v>19</v>
      </c>
      <c r="I17" s="51" t="s">
        <v>88</v>
      </c>
      <c r="J17" s="51" t="s">
        <v>21</v>
      </c>
      <c r="K17" s="51" t="s">
        <v>19</v>
      </c>
      <c r="L17" s="51" t="s">
        <v>41</v>
      </c>
      <c r="M17" s="52">
        <v>1</v>
      </c>
      <c r="N17" s="51" t="s">
        <v>19</v>
      </c>
      <c r="O17" s="51" t="s">
        <v>19</v>
      </c>
      <c r="P17" s="51" t="s">
        <v>19</v>
      </c>
      <c r="Q17" s="51" t="s">
        <v>19</v>
      </c>
      <c r="R17" s="53"/>
      <c r="S17" s="40" t="str">
        <f>B17&amp;M17</f>
        <v>QTextEdit1</v>
      </c>
      <c r="T17" s="40">
        <f>IF(COUNTIF(S:S,S17)&gt;1,0,1)</f>
        <v>1</v>
      </c>
      <c r="V17" s="41" t="str">
        <f t="shared" si="10"/>
        <v>NULL</v>
      </c>
      <c r="W17" s="41" t="str">
        <f t="shared" si="10"/>
        <v>AlignLeft</v>
      </c>
      <c r="X17" s="41" t="str">
        <f t="shared" ref="X17" si="11">O17</f>
        <v>NULL</v>
      </c>
      <c r="Y17" s="40">
        <v>0</v>
      </c>
      <c r="Z17" s="41" t="str">
        <f t="shared" ref="Z17" si="12">B17</f>
        <v>QTextEdit</v>
      </c>
      <c r="AA17" s="41">
        <f>M:M</f>
        <v>1</v>
      </c>
      <c r="AB17" s="41" t="str">
        <f t="shared" ref="AB17" si="13">L17</f>
        <v>GuiF</v>
      </c>
    </row>
    <row r="18" spans="1:28" s="11" customFormat="1" x14ac:dyDescent="0.15">
      <c r="A18" s="15">
        <f t="shared" si="3"/>
        <v>17</v>
      </c>
      <c r="B18" s="16">
        <v>1</v>
      </c>
      <c r="C18" s="16">
        <v>2</v>
      </c>
      <c r="D18" s="16">
        <v>3</v>
      </c>
      <c r="E18" s="16">
        <v>4</v>
      </c>
      <c r="F18" s="16">
        <v>5</v>
      </c>
      <c r="G18" s="16">
        <v>6</v>
      </c>
      <c r="H18" s="16">
        <v>7</v>
      </c>
      <c r="I18" s="16">
        <v>8</v>
      </c>
      <c r="J18" s="16">
        <v>9</v>
      </c>
      <c r="K18" s="16">
        <v>10</v>
      </c>
      <c r="L18" s="15" t="str">
        <f t="shared" si="6"/>
        <v>GuiF</v>
      </c>
      <c r="M18" s="16">
        <v>12</v>
      </c>
      <c r="N18" s="16">
        <v>13</v>
      </c>
      <c r="O18" s="16">
        <v>14</v>
      </c>
      <c r="P18" s="16">
        <v>15</v>
      </c>
      <c r="Q18" s="16">
        <v>16</v>
      </c>
      <c r="S18" s="20" t="str">
        <f t="shared" si="5"/>
        <v>112</v>
      </c>
      <c r="T18" s="20">
        <f>IF(COUNTIF(S:S,S18)&gt;1,0,1)</f>
        <v>1</v>
      </c>
    </row>
    <row r="19" spans="1:28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5" t="str">
        <f t="shared" si="6"/>
        <v>GuiF</v>
      </c>
      <c r="M19" s="18"/>
      <c r="N19" s="18"/>
      <c r="O19" s="18"/>
      <c r="P19" s="18"/>
      <c r="Q19" s="18"/>
    </row>
    <row r="20" spans="1:28" x14ac:dyDescent="0.15">
      <c r="C20" s="4" t="s">
        <v>119</v>
      </c>
    </row>
    <row r="21" spans="1:28" x14ac:dyDescent="0.15">
      <c r="R21" s="4" t="s">
        <v>129</v>
      </c>
    </row>
    <row r="22" spans="1:28" ht="16.5" x14ac:dyDescent="0.15">
      <c r="Q22" s="14"/>
      <c r="R22" s="26">
        <v>1</v>
      </c>
      <c r="S22" s="26">
        <v>10</v>
      </c>
    </row>
    <row r="23" spans="1:28" x14ac:dyDescent="0.15">
      <c r="R23" s="27">
        <v>2</v>
      </c>
      <c r="S23" s="27">
        <v>11</v>
      </c>
    </row>
    <row r="24" spans="1:28" x14ac:dyDescent="0.15">
      <c r="R24" s="28">
        <v>3</v>
      </c>
      <c r="S24" s="28">
        <v>12</v>
      </c>
    </row>
    <row r="25" spans="1:28" x14ac:dyDescent="0.15">
      <c r="E25" t="s">
        <v>111</v>
      </c>
      <c r="J25" t="s">
        <v>113</v>
      </c>
      <c r="R25" s="29">
        <v>4</v>
      </c>
      <c r="S25" s="29">
        <v>13</v>
      </c>
    </row>
    <row r="26" spans="1:28" x14ac:dyDescent="0.15">
      <c r="A26" s="4" t="s">
        <v>108</v>
      </c>
      <c r="B26" s="4" t="s">
        <v>109</v>
      </c>
      <c r="R26" s="30">
        <v>5</v>
      </c>
      <c r="S26" s="30">
        <v>14</v>
      </c>
    </row>
    <row r="27" spans="1:28" x14ac:dyDescent="0.15">
      <c r="R27" s="11">
        <v>6</v>
      </c>
      <c r="S27" s="11">
        <v>15</v>
      </c>
    </row>
    <row r="28" spans="1:28" x14ac:dyDescent="0.15">
      <c r="R28" s="11">
        <v>7</v>
      </c>
      <c r="S28" s="11">
        <v>16</v>
      </c>
    </row>
    <row r="29" spans="1:28" x14ac:dyDescent="0.15">
      <c r="R29" s="11">
        <v>8</v>
      </c>
      <c r="S29" s="11">
        <v>17</v>
      </c>
    </row>
    <row r="30" spans="1:28" x14ac:dyDescent="0.15">
      <c r="R30" s="11"/>
      <c r="S30" s="11"/>
    </row>
    <row r="31" spans="1:28" ht="16.5" x14ac:dyDescent="0.15">
      <c r="O31" s="14"/>
      <c r="R31" s="11"/>
      <c r="S31" s="11"/>
    </row>
    <row r="32" spans="1:28" x14ac:dyDescent="0.15">
      <c r="R32" s="11"/>
      <c r="S32" s="11"/>
    </row>
    <row r="33" spans="18:19" x14ac:dyDescent="0.15">
      <c r="R33" s="11"/>
      <c r="S33" s="11"/>
    </row>
  </sheetData>
  <autoFilter ref="A1:Q18"/>
  <phoneticPr fontId="2" type="noConversion"/>
  <conditionalFormatting sqref="T1:T16 T18:T1048576">
    <cfRule type="cellIs" dxfId="43" priority="3" operator="lessThan">
      <formula>0.5</formula>
    </cfRule>
    <cfRule type="cellIs" dxfId="42" priority="4" operator="greaterThan">
      <formula>0</formula>
    </cfRule>
  </conditionalFormatting>
  <conditionalFormatting sqref="T17">
    <cfRule type="cellIs" dxfId="1" priority="1" operator="lessThan">
      <formula>0.5</formula>
    </cfRule>
    <cfRule type="cellIs" dxfId="0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M14:M17 M2:M8 D16:E17">
      <formula1>0</formula1>
      <formula2>499</formula2>
    </dataValidation>
    <dataValidation type="whole" allowBlank="1" showInputMessage="1" showErrorMessage="1" errorTitle="输入值无效" error="请输入1-100的整数" sqref="F2:G13 F16:G17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AllNoChange!$B$2:$B$5</xm:f>
          </x14:formula1>
          <xm:sqref>I2 I16:I17</xm:sqref>
        </x14:dataValidation>
        <x14:dataValidation type="list" allowBlank="1" showInputMessage="1" showErrorMessage="1">
          <x14:formula1>
            <xm:f>AllNoChange!$C$2:$C$5</xm:f>
          </x14:formula1>
          <xm:sqref>J2 J16:J17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N5:N6 N14:N16 P7:P9 M10:O10 O16 O4 O6 O9 O13 O11:Q12 K11:K15 C11:C12 C14:G15 J15 J11:J12 J3:J5 C5:C7 H6:H7 I7 J8:K9 N3 Q8:Q9 P14:Q16 H17 K17 N17:Q17</xm:sqref>
        </x14:dataValidation>
        <x14:dataValidation type="list" allowBlank="1" showInputMessage="1" showErrorMessage="1">
          <x14:formula1>
            <xm:f>AllNoChange!$F$6:$F$7</xm:f>
          </x14:formula1>
          <xm:sqref>K10</xm:sqref>
        </x14:dataValidation>
        <x14:dataValidation type="list" allowBlank="1" showInputMessage="1" showErrorMessage="1">
          <x14:formula1>
            <xm:f>AllNoChange!$G$6:$G$8</xm:f>
          </x14:formula1>
          <xm:sqref>P10</xm:sqref>
        </x14:dataValidation>
        <x14:dataValidation type="list" allowBlank="1" showInputMessage="1" showErrorMessage="1">
          <x14:formula1>
            <xm:f>AllNoChange!$A$2:$A$18</xm:f>
          </x14:formula1>
          <xm:sqref>B2:B17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Q10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2"/>
  <sheetViews>
    <sheetView workbookViewId="0">
      <selection activeCell="A13" sqref="A13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5" t="s">
        <v>151</v>
      </c>
    </row>
    <row r="13" spans="1:7" x14ac:dyDescent="0.15">
      <c r="A13" s="8" t="s">
        <v>152</v>
      </c>
    </row>
    <row r="14" spans="1:7" x14ac:dyDescent="0.15">
      <c r="A14" s="3" t="s">
        <v>27</v>
      </c>
      <c r="B14">
        <v>6</v>
      </c>
    </row>
    <row r="15" spans="1:7" x14ac:dyDescent="0.15">
      <c r="A15" s="5" t="s">
        <v>79</v>
      </c>
      <c r="B15">
        <v>7</v>
      </c>
    </row>
    <row r="16" spans="1:7" x14ac:dyDescent="0.15">
      <c r="A16" t="s">
        <v>100</v>
      </c>
      <c r="B16">
        <v>8</v>
      </c>
    </row>
    <row r="17" spans="1:2" x14ac:dyDescent="0.15">
      <c r="A17" t="s">
        <v>45</v>
      </c>
      <c r="B17">
        <v>9</v>
      </c>
    </row>
    <row r="18" spans="1:2" x14ac:dyDescent="0.15">
      <c r="A18" t="s">
        <v>139</v>
      </c>
      <c r="B18">
        <v>10</v>
      </c>
    </row>
    <row r="19" spans="1:2" x14ac:dyDescent="0.15">
      <c r="B19">
        <v>11</v>
      </c>
    </row>
    <row r="20" spans="1:2" x14ac:dyDescent="0.15">
      <c r="B20">
        <v>12</v>
      </c>
    </row>
    <row r="21" spans="1:2" x14ac:dyDescent="0.15">
      <c r="B21">
        <v>13</v>
      </c>
    </row>
    <row r="22" spans="1:2" x14ac:dyDescent="0.15">
      <c r="B22">
        <v>14</v>
      </c>
    </row>
    <row r="23" spans="1:2" x14ac:dyDescent="0.15">
      <c r="B23">
        <v>15</v>
      </c>
    </row>
    <row r="24" spans="1:2" x14ac:dyDescent="0.15">
      <c r="B24">
        <v>16</v>
      </c>
    </row>
    <row r="25" spans="1:2" x14ac:dyDescent="0.15">
      <c r="B25">
        <v>17</v>
      </c>
    </row>
    <row r="26" spans="1:2" x14ac:dyDescent="0.15">
      <c r="B26">
        <v>18</v>
      </c>
    </row>
    <row r="27" spans="1:2" x14ac:dyDescent="0.15">
      <c r="B27">
        <v>19</v>
      </c>
    </row>
    <row r="28" spans="1:2" x14ac:dyDescent="0.15">
      <c r="B28">
        <v>20</v>
      </c>
    </row>
    <row r="29" spans="1:2" x14ac:dyDescent="0.15">
      <c r="B29">
        <v>21</v>
      </c>
    </row>
    <row r="30" spans="1:2" x14ac:dyDescent="0.15">
      <c r="B30">
        <v>22</v>
      </c>
    </row>
    <row r="31" spans="1:2" x14ac:dyDescent="0.15">
      <c r="B31">
        <v>23</v>
      </c>
    </row>
    <row r="32" spans="1:2" x14ac:dyDescent="0.15">
      <c r="B32">
        <v>24</v>
      </c>
    </row>
    <row r="33" spans="2:2" x14ac:dyDescent="0.15">
      <c r="B33">
        <v>25</v>
      </c>
    </row>
    <row r="34" spans="2:2" x14ac:dyDescent="0.15">
      <c r="B34">
        <v>26</v>
      </c>
    </row>
    <row r="35" spans="2:2" x14ac:dyDescent="0.15">
      <c r="B35">
        <v>27</v>
      </c>
    </row>
    <row r="36" spans="2:2" x14ac:dyDescent="0.15">
      <c r="B36">
        <v>28</v>
      </c>
    </row>
    <row r="37" spans="2:2" x14ac:dyDescent="0.15">
      <c r="B37">
        <v>29</v>
      </c>
    </row>
    <row r="38" spans="2:2" x14ac:dyDescent="0.15">
      <c r="B38">
        <v>30</v>
      </c>
    </row>
    <row r="39" spans="2:2" x14ac:dyDescent="0.15">
      <c r="B39">
        <v>31</v>
      </c>
    </row>
    <row r="40" spans="2:2" x14ac:dyDescent="0.15">
      <c r="B40">
        <v>32</v>
      </c>
    </row>
    <row r="41" spans="2:2" x14ac:dyDescent="0.15">
      <c r="B41">
        <v>33</v>
      </c>
    </row>
    <row r="42" spans="2:2" x14ac:dyDescent="0.15">
      <c r="B42">
        <v>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A11" sqref="A11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41" priority="3" operator="lessThan">
      <formula>0.5</formula>
    </cfRule>
    <cfRule type="cellIs" dxfId="40" priority="4" operator="greaterThan">
      <formula>0</formula>
    </cfRule>
  </conditionalFormatting>
  <conditionalFormatting sqref="T1">
    <cfRule type="cellIs" dxfId="39" priority="1" operator="lessThan">
      <formula>0.5</formula>
    </cfRule>
    <cfRule type="cellIs" dxfId="38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18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8" sqref="F18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2" si="0">H1</f>
        <v>Data_Type</v>
      </c>
      <c r="W1" s="11" t="str">
        <f t="shared" si="0"/>
        <v>Flag</v>
      </c>
      <c r="X1" s="11" t="str">
        <f t="shared" ref="X1:X2" si="1">O1</f>
        <v>Fuzhu_Para3</v>
      </c>
      <c r="Y1" s="39" t="s">
        <v>17</v>
      </c>
      <c r="Z1" s="11" t="str">
        <f t="shared" ref="Z1:Z2" si="2">B1</f>
        <v>TYPE</v>
      </c>
      <c r="AA1" s="11" t="str">
        <f t="shared" ref="AA1:AA11" si="3">M:M</f>
        <v>SpecifyTypeNum</v>
      </c>
      <c r="AB1" s="11" t="str">
        <f>AB2</f>
        <v>GuiStudyPro</v>
      </c>
    </row>
    <row r="2" spans="1:28" s="1" customFormat="1" ht="16.5" x14ac:dyDescent="0.15">
      <c r="A2" s="54">
        <f t="shared" ref="A2:A18" si="4">ROW()-1</f>
        <v>1</v>
      </c>
      <c r="B2" s="55" t="s">
        <v>24</v>
      </c>
      <c r="C2" s="52"/>
      <c r="D2" s="52">
        <v>0</v>
      </c>
      <c r="E2" s="52">
        <v>0</v>
      </c>
      <c r="F2" s="52">
        <v>1</v>
      </c>
      <c r="G2" s="52">
        <v>1</v>
      </c>
      <c r="H2" s="55" t="s">
        <v>19</v>
      </c>
      <c r="I2" s="52" t="s">
        <v>82</v>
      </c>
      <c r="J2" s="55" t="s">
        <v>19</v>
      </c>
      <c r="K2" s="52" t="s">
        <v>133</v>
      </c>
      <c r="L2" s="54" t="s">
        <v>132</v>
      </c>
      <c r="M2" s="52">
        <v>0</v>
      </c>
      <c r="N2" s="54" t="s">
        <v>149</v>
      </c>
      <c r="O2" s="55" t="s">
        <v>19</v>
      </c>
      <c r="P2" s="55" t="s">
        <v>19</v>
      </c>
      <c r="Q2" s="55" t="s">
        <v>19</v>
      </c>
      <c r="R2" s="47"/>
      <c r="S2" s="65" t="str">
        <f t="shared" ref="S2" si="5">B2&amp;M2</f>
        <v>QPushButton0</v>
      </c>
      <c r="T2" s="65">
        <f t="shared" ref="T2:T18" si="6">IF(COUNTIF(S:S,S2)&gt;1,0,1)</f>
        <v>1</v>
      </c>
      <c r="V2" s="66" t="str">
        <f t="shared" si="0"/>
        <v>NULL</v>
      </c>
      <c r="W2" s="66" t="str">
        <f t="shared" si="0"/>
        <v>NULL</v>
      </c>
      <c r="X2" s="66" t="str">
        <f t="shared" si="1"/>
        <v>NULL</v>
      </c>
      <c r="Y2" s="1">
        <v>0</v>
      </c>
      <c r="Z2" s="66" t="str">
        <f t="shared" si="2"/>
        <v>QPushButton</v>
      </c>
      <c r="AA2" s="66">
        <f t="shared" si="3"/>
        <v>0</v>
      </c>
      <c r="AB2" s="66" t="str">
        <f t="shared" ref="AB2" si="7">L2</f>
        <v>GuiStudyPro</v>
      </c>
    </row>
    <row r="3" spans="1:28" s="1" customFormat="1" ht="16.5" x14ac:dyDescent="0.15">
      <c r="A3" s="54">
        <f t="shared" si="4"/>
        <v>2</v>
      </c>
      <c r="B3" s="55" t="s">
        <v>24</v>
      </c>
      <c r="C3" s="52"/>
      <c r="D3" s="52">
        <v>0</v>
      </c>
      <c r="E3" s="52">
        <v>1</v>
      </c>
      <c r="F3" s="52">
        <v>1</v>
      </c>
      <c r="G3" s="52">
        <v>1</v>
      </c>
      <c r="H3" s="55" t="s">
        <v>19</v>
      </c>
      <c r="I3" s="52" t="s">
        <v>82</v>
      </c>
      <c r="J3" s="55" t="s">
        <v>19</v>
      </c>
      <c r="K3" s="52" t="s">
        <v>134</v>
      </c>
      <c r="L3" s="54" t="str">
        <f t="shared" ref="L3:L5" si="8">$L$2</f>
        <v>GuiStudyPro</v>
      </c>
      <c r="M3" s="52">
        <v>1</v>
      </c>
      <c r="N3" s="54" t="s">
        <v>141</v>
      </c>
      <c r="O3" s="55" t="s">
        <v>19</v>
      </c>
      <c r="P3" s="55" t="s">
        <v>19</v>
      </c>
      <c r="Q3" s="55" t="s">
        <v>19</v>
      </c>
      <c r="R3" s="47"/>
      <c r="S3" s="65" t="str">
        <f t="shared" ref="S3" si="9">B3&amp;M3</f>
        <v>QPushButton1</v>
      </c>
      <c r="T3" s="65">
        <f t="shared" si="6"/>
        <v>1</v>
      </c>
      <c r="V3" s="66" t="str">
        <f t="shared" ref="V3" si="10">H3</f>
        <v>NULL</v>
      </c>
      <c r="W3" s="66" t="str">
        <f t="shared" ref="W3" si="11">I3</f>
        <v>NULL</v>
      </c>
      <c r="X3" s="66" t="str">
        <f t="shared" ref="X3" si="12">O3</f>
        <v>NULL</v>
      </c>
      <c r="Y3" s="1">
        <v>0</v>
      </c>
      <c r="Z3" s="66" t="str">
        <f t="shared" ref="Z3" si="13">B3</f>
        <v>QPushButton</v>
      </c>
      <c r="AA3" s="66">
        <f t="shared" si="3"/>
        <v>1</v>
      </c>
      <c r="AB3" s="66" t="str">
        <f t="shared" ref="AB3" si="14">L3</f>
        <v>GuiStudyPro</v>
      </c>
    </row>
    <row r="4" spans="1:28" s="1" customFormat="1" ht="16.5" x14ac:dyDescent="0.15">
      <c r="A4" s="54">
        <f t="shared" si="4"/>
        <v>3</v>
      </c>
      <c r="B4" s="55" t="s">
        <v>24</v>
      </c>
      <c r="C4" s="52"/>
      <c r="D4" s="52">
        <v>0</v>
      </c>
      <c r="E4" s="52">
        <v>2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135</v>
      </c>
      <c r="L4" s="54" t="str">
        <f t="shared" si="8"/>
        <v>GuiStudyPro</v>
      </c>
      <c r="M4" s="52">
        <v>2</v>
      </c>
      <c r="N4" s="54" t="s">
        <v>142</v>
      </c>
      <c r="O4" s="55" t="s">
        <v>19</v>
      </c>
      <c r="P4" s="55" t="s">
        <v>19</v>
      </c>
      <c r="Q4" s="55" t="s">
        <v>19</v>
      </c>
      <c r="R4" s="47"/>
      <c r="S4" s="65" t="str">
        <f t="shared" ref="S4" si="15">B4&amp;M4</f>
        <v>QPushButton2</v>
      </c>
      <c r="T4" s="65">
        <f t="shared" si="6"/>
        <v>1</v>
      </c>
      <c r="V4" s="66" t="str">
        <f t="shared" ref="V4" si="16">H4</f>
        <v>NULL</v>
      </c>
      <c r="W4" s="66" t="str">
        <f t="shared" ref="W4" si="17">I4</f>
        <v>NULL</v>
      </c>
      <c r="X4" s="66" t="str">
        <f t="shared" ref="X4" si="18">O4</f>
        <v>NULL</v>
      </c>
      <c r="Y4" s="1">
        <v>0</v>
      </c>
      <c r="Z4" s="66" t="str">
        <f t="shared" ref="Z4" si="19">B4</f>
        <v>QPushButton</v>
      </c>
      <c r="AA4" s="66">
        <f t="shared" si="3"/>
        <v>2</v>
      </c>
      <c r="AB4" s="66" t="str">
        <f t="shared" ref="AB4" si="20">L4</f>
        <v>GuiStudyPro</v>
      </c>
    </row>
    <row r="5" spans="1:28" s="1" customFormat="1" ht="16.5" x14ac:dyDescent="0.15">
      <c r="A5" s="54">
        <f t="shared" si="4"/>
        <v>4</v>
      </c>
      <c r="B5" s="55" t="s">
        <v>24</v>
      </c>
      <c r="C5" s="52"/>
      <c r="D5" s="52">
        <v>0</v>
      </c>
      <c r="E5" s="52">
        <v>3</v>
      </c>
      <c r="F5" s="52">
        <v>1</v>
      </c>
      <c r="G5" s="52">
        <v>1</v>
      </c>
      <c r="H5" s="55" t="s">
        <v>19</v>
      </c>
      <c r="I5" s="52" t="s">
        <v>82</v>
      </c>
      <c r="J5" s="55" t="s">
        <v>19</v>
      </c>
      <c r="K5" s="52" t="s">
        <v>136</v>
      </c>
      <c r="L5" s="54" t="str">
        <f t="shared" si="8"/>
        <v>GuiStudyPro</v>
      </c>
      <c r="M5" s="52">
        <v>3</v>
      </c>
      <c r="N5" s="54" t="s">
        <v>143</v>
      </c>
      <c r="O5" s="55" t="s">
        <v>19</v>
      </c>
      <c r="P5" s="55" t="s">
        <v>19</v>
      </c>
      <c r="Q5" s="55" t="s">
        <v>19</v>
      </c>
      <c r="R5" s="47"/>
      <c r="S5" s="65" t="str">
        <f t="shared" ref="S5" si="21">B5&amp;M5</f>
        <v>QPushButton3</v>
      </c>
      <c r="T5" s="65">
        <f t="shared" si="6"/>
        <v>1</v>
      </c>
      <c r="V5" s="66" t="str">
        <f t="shared" ref="V5" si="22">H5</f>
        <v>NULL</v>
      </c>
      <c r="W5" s="66" t="str">
        <f t="shared" ref="W5" si="23">I5</f>
        <v>NULL</v>
      </c>
      <c r="X5" s="66" t="str">
        <f t="shared" ref="X5" si="24">O5</f>
        <v>NULL</v>
      </c>
      <c r="Y5" s="1">
        <v>0</v>
      </c>
      <c r="Z5" s="66" t="str">
        <f t="shared" ref="Z5" si="25">B5</f>
        <v>QPushButton</v>
      </c>
      <c r="AA5" s="66">
        <f t="shared" si="3"/>
        <v>3</v>
      </c>
      <c r="AB5" s="66" t="str">
        <f t="shared" ref="AB5" si="26">L5</f>
        <v>GuiStudyPro</v>
      </c>
    </row>
    <row r="6" spans="1:28" s="1" customFormat="1" ht="16.5" x14ac:dyDescent="0.15">
      <c r="A6" s="54">
        <f t="shared" si="4"/>
        <v>5</v>
      </c>
      <c r="B6" s="55" t="s">
        <v>24</v>
      </c>
      <c r="C6" s="52"/>
      <c r="D6" s="52">
        <v>0</v>
      </c>
      <c r="E6" s="52">
        <v>4</v>
      </c>
      <c r="F6" s="52">
        <v>1</v>
      </c>
      <c r="G6" s="52">
        <v>1</v>
      </c>
      <c r="H6" s="55" t="s">
        <v>19</v>
      </c>
      <c r="I6" s="52" t="s">
        <v>82</v>
      </c>
      <c r="J6" s="55" t="s">
        <v>19</v>
      </c>
      <c r="K6" s="52" t="s">
        <v>137</v>
      </c>
      <c r="L6" s="54" t="str">
        <f t="shared" ref="L6:L18" si="27">$L$2</f>
        <v>GuiStudyPro</v>
      </c>
      <c r="M6" s="52">
        <v>4</v>
      </c>
      <c r="N6" s="54" t="s">
        <v>144</v>
      </c>
      <c r="O6" s="55" t="s">
        <v>19</v>
      </c>
      <c r="P6" s="55" t="s">
        <v>19</v>
      </c>
      <c r="Q6" s="55" t="s">
        <v>19</v>
      </c>
      <c r="R6" s="47"/>
      <c r="S6" s="65" t="str">
        <f t="shared" ref="S6:S10" si="28">B6&amp;M6</f>
        <v>QPushButton4</v>
      </c>
      <c r="T6" s="65">
        <f t="shared" si="6"/>
        <v>1</v>
      </c>
      <c r="V6" s="66" t="str">
        <f t="shared" ref="V6:W9" si="29">H6</f>
        <v>NULL</v>
      </c>
      <c r="W6" s="66" t="str">
        <f t="shared" ref="W6:W7" si="30">I6</f>
        <v>NULL</v>
      </c>
      <c r="X6" s="66" t="str">
        <f t="shared" ref="X6:X15" si="31">O6</f>
        <v>NULL</v>
      </c>
      <c r="Y6" s="1">
        <v>0</v>
      </c>
      <c r="Z6" s="66" t="str">
        <f t="shared" ref="Z6:Z15" si="32">B6</f>
        <v>QPushButton</v>
      </c>
      <c r="AA6" s="66">
        <f t="shared" si="3"/>
        <v>4</v>
      </c>
      <c r="AB6" s="66" t="str">
        <f t="shared" ref="AB6:AB15" si="33">L6</f>
        <v>GuiStudyPro</v>
      </c>
    </row>
    <row r="7" spans="1:28" s="66" customFormat="1" ht="16.5" x14ac:dyDescent="0.15">
      <c r="A7" s="54">
        <f t="shared" si="4"/>
        <v>6</v>
      </c>
      <c r="B7" s="55" t="s">
        <v>30</v>
      </c>
      <c r="C7" s="55" t="s">
        <v>19</v>
      </c>
      <c r="D7" s="52">
        <v>0</v>
      </c>
      <c r="E7" s="52">
        <v>5</v>
      </c>
      <c r="F7" s="52">
        <v>1</v>
      </c>
      <c r="G7" s="52">
        <v>1</v>
      </c>
      <c r="H7" s="55" t="s">
        <v>19</v>
      </c>
      <c r="I7" s="55" t="s">
        <v>19</v>
      </c>
      <c r="J7" s="55" t="s">
        <v>19</v>
      </c>
      <c r="K7" s="55" t="s">
        <v>19</v>
      </c>
      <c r="L7" s="54" t="str">
        <f t="shared" si="27"/>
        <v>GuiStudyPro</v>
      </c>
      <c r="M7" s="52">
        <v>0</v>
      </c>
      <c r="N7" s="55" t="s">
        <v>19</v>
      </c>
      <c r="O7" s="55" t="s">
        <v>19</v>
      </c>
      <c r="P7" s="55" t="s">
        <v>19</v>
      </c>
      <c r="Q7" s="55" t="s">
        <v>19</v>
      </c>
      <c r="R7" s="26"/>
      <c r="S7" s="65" t="str">
        <f t="shared" ref="S7" si="34">B7&amp;M7</f>
        <v>QSpacerItem0</v>
      </c>
      <c r="T7" s="65">
        <f t="shared" si="6"/>
        <v>1</v>
      </c>
      <c r="V7" s="66" t="str">
        <f t="shared" ref="V7" si="35">H7</f>
        <v>NULL</v>
      </c>
      <c r="W7" s="66" t="str">
        <f t="shared" si="30"/>
        <v>NULL</v>
      </c>
      <c r="X7" s="66" t="str">
        <f t="shared" ref="X7" si="36">O7</f>
        <v>NULL</v>
      </c>
      <c r="Y7" s="66">
        <v>13</v>
      </c>
      <c r="Z7" s="66" t="str">
        <f t="shared" ref="Z7" si="37">B7</f>
        <v>QSpacerItem</v>
      </c>
      <c r="AA7" s="66">
        <f t="shared" si="3"/>
        <v>0</v>
      </c>
      <c r="AB7" s="66" t="str">
        <f t="shared" ref="AB7" si="38">L7</f>
        <v>GuiStudyPro</v>
      </c>
    </row>
    <row r="8" spans="1:28" s="1" customFormat="1" ht="16.5" x14ac:dyDescent="0.15">
      <c r="A8" s="58">
        <f t="shared" si="4"/>
        <v>7</v>
      </c>
      <c r="B8" s="59" t="s">
        <v>138</v>
      </c>
      <c r="C8" s="58" t="s">
        <v>106</v>
      </c>
      <c r="D8" s="60">
        <v>0</v>
      </c>
      <c r="E8" s="60">
        <v>0</v>
      </c>
      <c r="F8" s="60">
        <v>1</v>
      </c>
      <c r="G8" s="60">
        <v>1</v>
      </c>
      <c r="H8" s="58" t="s">
        <v>140</v>
      </c>
      <c r="I8" s="76" t="s">
        <v>88</v>
      </c>
      <c r="J8" s="76" t="s">
        <v>89</v>
      </c>
      <c r="K8" s="59" t="s">
        <v>19</v>
      </c>
      <c r="L8" s="58" t="str">
        <f t="shared" si="27"/>
        <v>GuiStudyPro</v>
      </c>
      <c r="M8" s="60">
        <v>0</v>
      </c>
      <c r="N8" s="59" t="s">
        <v>19</v>
      </c>
      <c r="O8" s="60">
        <f>C6</f>
        <v>0</v>
      </c>
      <c r="P8" s="59" t="s">
        <v>19</v>
      </c>
      <c r="Q8" s="59" t="s">
        <v>19</v>
      </c>
      <c r="R8" s="61"/>
      <c r="S8" s="65" t="str">
        <f t="shared" si="28"/>
        <v>QTextEdit0</v>
      </c>
      <c r="T8" s="65">
        <f t="shared" si="6"/>
        <v>1</v>
      </c>
      <c r="V8" s="66" t="str">
        <f t="shared" si="29"/>
        <v>StudyCode</v>
      </c>
      <c r="W8" s="66" t="str">
        <f t="shared" si="29"/>
        <v>AlignLeft</v>
      </c>
      <c r="X8" s="66">
        <f t="shared" si="31"/>
        <v>0</v>
      </c>
      <c r="Y8" s="1">
        <v>0</v>
      </c>
      <c r="Z8" s="66" t="str">
        <f t="shared" si="32"/>
        <v>QTextEdit</v>
      </c>
      <c r="AA8" s="66">
        <f t="shared" si="3"/>
        <v>0</v>
      </c>
      <c r="AB8" s="66" t="str">
        <f t="shared" si="33"/>
        <v>GuiStudyPro</v>
      </c>
    </row>
    <row r="9" spans="1:28" s="66" customFormat="1" ht="16.5" x14ac:dyDescent="0.15">
      <c r="A9" s="68">
        <f t="shared" si="4"/>
        <v>8</v>
      </c>
      <c r="B9" s="69" t="s">
        <v>30</v>
      </c>
      <c r="C9" s="69" t="s">
        <v>19</v>
      </c>
      <c r="D9" s="70">
        <v>0</v>
      </c>
      <c r="E9" s="70">
        <v>0</v>
      </c>
      <c r="F9" s="70">
        <v>1</v>
      </c>
      <c r="G9" s="70">
        <v>1</v>
      </c>
      <c r="H9" s="69" t="s">
        <v>19</v>
      </c>
      <c r="I9" s="69" t="s">
        <v>19</v>
      </c>
      <c r="J9" s="69" t="s">
        <v>19</v>
      </c>
      <c r="K9" s="69" t="s">
        <v>19</v>
      </c>
      <c r="L9" s="68" t="str">
        <f t="shared" si="27"/>
        <v>GuiStudyPro</v>
      </c>
      <c r="M9" s="70">
        <v>1</v>
      </c>
      <c r="N9" s="69" t="s">
        <v>19</v>
      </c>
      <c r="O9" s="69" t="s">
        <v>19</v>
      </c>
      <c r="P9" s="69" t="s">
        <v>19</v>
      </c>
      <c r="Q9" s="69" t="s">
        <v>19</v>
      </c>
      <c r="R9" s="29"/>
      <c r="S9" s="65" t="str">
        <f t="shared" si="28"/>
        <v>QSpacerItem1</v>
      </c>
      <c r="T9" s="65">
        <f t="shared" si="6"/>
        <v>1</v>
      </c>
      <c r="V9" s="66" t="str">
        <f t="shared" si="29"/>
        <v>NULL</v>
      </c>
      <c r="W9" s="66" t="str">
        <f t="shared" si="29"/>
        <v>NULL</v>
      </c>
      <c r="X9" s="66" t="str">
        <f t="shared" si="31"/>
        <v>NULL</v>
      </c>
      <c r="Y9" s="66">
        <v>13</v>
      </c>
      <c r="Z9" s="66" t="str">
        <f t="shared" si="32"/>
        <v>QSpacerItem</v>
      </c>
      <c r="AA9" s="66">
        <f t="shared" si="3"/>
        <v>1</v>
      </c>
      <c r="AB9" s="66" t="str">
        <f t="shared" si="33"/>
        <v>GuiStudyPro</v>
      </c>
    </row>
    <row r="10" spans="1:28" s="66" customFormat="1" ht="16.5" x14ac:dyDescent="0.15">
      <c r="A10" s="71">
        <f t="shared" si="4"/>
        <v>9</v>
      </c>
      <c r="B10" s="72" t="s">
        <v>131</v>
      </c>
      <c r="C10" s="72" t="s">
        <v>19</v>
      </c>
      <c r="D10" s="73">
        <v>0</v>
      </c>
      <c r="E10" s="73">
        <v>0</v>
      </c>
      <c r="F10" s="73">
        <v>1</v>
      </c>
      <c r="G10" s="73">
        <v>1</v>
      </c>
      <c r="H10" s="72" t="s">
        <v>19</v>
      </c>
      <c r="I10" s="72" t="s">
        <v>19</v>
      </c>
      <c r="J10" s="73">
        <v>0</v>
      </c>
      <c r="K10" s="73" t="s">
        <v>145</v>
      </c>
      <c r="L10" s="71" t="str">
        <f t="shared" si="27"/>
        <v>GuiStudyPro</v>
      </c>
      <c r="M10" s="73">
        <v>0</v>
      </c>
      <c r="N10" s="73">
        <v>1</v>
      </c>
      <c r="O10" s="73" t="s">
        <v>146</v>
      </c>
      <c r="P10" s="72" t="s">
        <v>19</v>
      </c>
      <c r="Q10" s="73" t="s">
        <v>147</v>
      </c>
      <c r="R10" s="30"/>
      <c r="S10" s="65" t="str">
        <f t="shared" si="28"/>
        <v>QTableWidget0</v>
      </c>
      <c r="T10" s="65">
        <f t="shared" si="6"/>
        <v>1</v>
      </c>
      <c r="V10" s="66" t="str">
        <f>H10</f>
        <v>NULL</v>
      </c>
      <c r="W10" s="66" t="str">
        <f>Q10</f>
        <v>OutputTableData</v>
      </c>
      <c r="X10" s="66" t="str">
        <f t="shared" si="31"/>
        <v>ConfigurationFolder/GUIData/TestOutputTableData.csv</v>
      </c>
      <c r="Y10" s="6" t="s">
        <v>40</v>
      </c>
      <c r="Z10" s="66" t="str">
        <f t="shared" si="32"/>
        <v>QTableWidget</v>
      </c>
      <c r="AA10" s="66">
        <f t="shared" si="3"/>
        <v>0</v>
      </c>
      <c r="AB10" s="66" t="str">
        <f t="shared" si="33"/>
        <v>GuiStudyPro</v>
      </c>
    </row>
    <row r="11" spans="1:28" s="65" customFormat="1" ht="16.5" x14ac:dyDescent="0.15">
      <c r="A11" s="74">
        <f t="shared" si="4"/>
        <v>10</v>
      </c>
      <c r="B11" s="74" t="s">
        <v>18</v>
      </c>
      <c r="C11" s="73" t="s">
        <v>97</v>
      </c>
      <c r="D11" s="73">
        <v>1</v>
      </c>
      <c r="E11" s="73">
        <v>0</v>
      </c>
      <c r="F11" s="73">
        <v>1</v>
      </c>
      <c r="G11" s="73">
        <v>1</v>
      </c>
      <c r="H11" s="74" t="s">
        <v>19</v>
      </c>
      <c r="I11" s="74" t="s">
        <v>88</v>
      </c>
      <c r="J11" s="74" t="s">
        <v>21</v>
      </c>
      <c r="K11" s="74" t="s">
        <v>19</v>
      </c>
      <c r="L11" s="71" t="str">
        <f t="shared" si="27"/>
        <v>GuiStudyPro</v>
      </c>
      <c r="M11" s="73">
        <v>1</v>
      </c>
      <c r="N11" s="74" t="s">
        <v>19</v>
      </c>
      <c r="O11" s="74" t="s">
        <v>19</v>
      </c>
      <c r="P11" s="74" t="s">
        <v>19</v>
      </c>
      <c r="Q11" s="74" t="s">
        <v>19</v>
      </c>
      <c r="R11" s="75"/>
      <c r="S11" s="65" t="str">
        <f>B11&amp;M11</f>
        <v>Qlabel1</v>
      </c>
      <c r="T11" s="65">
        <f t="shared" si="6"/>
        <v>1</v>
      </c>
      <c r="V11" s="67" t="str">
        <f t="shared" ref="V11:W15" si="39">H11</f>
        <v>NULL</v>
      </c>
      <c r="W11" s="67" t="str">
        <f t="shared" si="39"/>
        <v>AlignLeft</v>
      </c>
      <c r="X11" s="67" t="str">
        <f t="shared" si="31"/>
        <v>NULL</v>
      </c>
      <c r="Y11" s="65">
        <v>0</v>
      </c>
      <c r="Z11" s="67" t="str">
        <f t="shared" si="32"/>
        <v>Qlabel</v>
      </c>
      <c r="AA11" s="67">
        <f t="shared" si="3"/>
        <v>1</v>
      </c>
      <c r="AB11" s="67" t="str">
        <f t="shared" si="33"/>
        <v>GuiStudyPro</v>
      </c>
    </row>
    <row r="12" spans="1:28" s="1" customFormat="1" ht="16.5" x14ac:dyDescent="0.15">
      <c r="A12" s="31">
        <f t="shared" si="4"/>
        <v>11</v>
      </c>
      <c r="B12" s="31" t="s">
        <v>128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0</v>
      </c>
      <c r="J12" s="32" t="s">
        <v>19</v>
      </c>
      <c r="K12" s="32" t="s">
        <v>19</v>
      </c>
      <c r="L12" s="31" t="str">
        <f t="shared" si="27"/>
        <v>GuiStudyPro</v>
      </c>
      <c r="M12" s="33">
        <f>A2</f>
        <v>1</v>
      </c>
      <c r="N12" s="33">
        <f>A7</f>
        <v>6</v>
      </c>
      <c r="O12" s="32" t="s">
        <v>19</v>
      </c>
      <c r="P12" s="32" t="s">
        <v>19</v>
      </c>
      <c r="Q12" s="32" t="s">
        <v>19</v>
      </c>
      <c r="R12" s="34"/>
      <c r="S12" s="65" t="str">
        <f>B12&amp;I12</f>
        <v>QHBoxLayout0</v>
      </c>
      <c r="T12" s="65">
        <f t="shared" si="6"/>
        <v>1</v>
      </c>
      <c r="V12" s="66" t="str">
        <f t="shared" si="39"/>
        <v>NULL</v>
      </c>
      <c r="W12" s="66">
        <f t="shared" si="39"/>
        <v>0</v>
      </c>
      <c r="X12" s="66" t="str">
        <f t="shared" si="31"/>
        <v>NULL</v>
      </c>
      <c r="Y12" s="1">
        <v>0</v>
      </c>
      <c r="Z12" s="66" t="str">
        <f t="shared" si="32"/>
        <v>QHBoxLayout</v>
      </c>
      <c r="AA12" s="66">
        <f>W12</f>
        <v>0</v>
      </c>
      <c r="AB12" s="66" t="str">
        <f t="shared" si="33"/>
        <v>GuiStudyPro</v>
      </c>
    </row>
    <row r="13" spans="1:28" s="66" customFormat="1" ht="16.5" x14ac:dyDescent="0.15">
      <c r="A13" s="31">
        <f t="shared" si="4"/>
        <v>12</v>
      </c>
      <c r="B13" s="31" t="s">
        <v>99</v>
      </c>
      <c r="C13" s="32" t="s">
        <v>19</v>
      </c>
      <c r="D13" s="33">
        <v>1</v>
      </c>
      <c r="E13" s="33">
        <v>0</v>
      </c>
      <c r="F13" s="33">
        <v>10</v>
      </c>
      <c r="G13" s="33">
        <v>1</v>
      </c>
      <c r="H13" s="32" t="s">
        <v>19</v>
      </c>
      <c r="I13" s="33">
        <v>0</v>
      </c>
      <c r="J13" s="32" t="s">
        <v>19</v>
      </c>
      <c r="K13" s="32" t="s">
        <v>19</v>
      </c>
      <c r="L13" s="31" t="str">
        <f t="shared" si="27"/>
        <v>GuiStudyPro</v>
      </c>
      <c r="M13" s="33">
        <f>A8</f>
        <v>7</v>
      </c>
      <c r="N13" s="33">
        <f>A8</f>
        <v>7</v>
      </c>
      <c r="O13" s="32" t="s">
        <v>19</v>
      </c>
      <c r="P13" s="32" t="s">
        <v>19</v>
      </c>
      <c r="Q13" s="32" t="s">
        <v>19</v>
      </c>
      <c r="R13" s="28"/>
      <c r="S13" s="65" t="str">
        <f>B13&amp;I13</f>
        <v>QGridLayout0</v>
      </c>
      <c r="T13" s="65">
        <f t="shared" si="6"/>
        <v>1</v>
      </c>
      <c r="V13" s="66" t="str">
        <f t="shared" si="39"/>
        <v>NULL</v>
      </c>
      <c r="W13" s="66">
        <f t="shared" si="39"/>
        <v>0</v>
      </c>
      <c r="X13" s="66" t="str">
        <f t="shared" si="31"/>
        <v>NULL</v>
      </c>
      <c r="Y13" s="6" t="s">
        <v>40</v>
      </c>
      <c r="Z13" s="66" t="str">
        <f t="shared" si="32"/>
        <v>QGridLayout</v>
      </c>
      <c r="AA13" s="66">
        <f>I13</f>
        <v>0</v>
      </c>
      <c r="AB13" s="66" t="str">
        <f t="shared" si="33"/>
        <v>GuiStudyPro</v>
      </c>
    </row>
    <row r="14" spans="1:28" s="1" customFormat="1" ht="16.5" x14ac:dyDescent="0.15">
      <c r="A14" s="31">
        <f t="shared" si="4"/>
        <v>13</v>
      </c>
      <c r="B14" s="31" t="s">
        <v>100</v>
      </c>
      <c r="C14" s="32" t="s">
        <v>19</v>
      </c>
      <c r="D14" s="33">
        <v>0</v>
      </c>
      <c r="E14" s="33">
        <v>0</v>
      </c>
      <c r="F14" s="33">
        <v>11</v>
      </c>
      <c r="G14" s="33">
        <v>3</v>
      </c>
      <c r="H14" s="32" t="s">
        <v>19</v>
      </c>
      <c r="I14" s="33">
        <v>1</v>
      </c>
      <c r="J14" s="32" t="s">
        <v>19</v>
      </c>
      <c r="K14" s="32" t="s">
        <v>19</v>
      </c>
      <c r="L14" s="31" t="str">
        <f t="shared" si="27"/>
        <v>GuiStudyPro</v>
      </c>
      <c r="M14" s="33">
        <f>A12</f>
        <v>11</v>
      </c>
      <c r="N14" s="33">
        <f>A13</f>
        <v>12</v>
      </c>
      <c r="O14" s="32" t="s">
        <v>19</v>
      </c>
      <c r="P14" s="32" t="s">
        <v>19</v>
      </c>
      <c r="Q14" s="32" t="s">
        <v>19</v>
      </c>
      <c r="R14" s="34"/>
      <c r="S14" s="65" t="str">
        <f>LEFT(B14,LEN(B14)-2)&amp;I14</f>
        <v>QGridLayout1</v>
      </c>
      <c r="T14" s="65">
        <f t="shared" si="6"/>
        <v>1</v>
      </c>
      <c r="V14" s="66" t="str">
        <f t="shared" si="39"/>
        <v>NULL</v>
      </c>
      <c r="W14" s="66">
        <f t="shared" si="39"/>
        <v>1</v>
      </c>
      <c r="X14" s="66" t="str">
        <f t="shared" si="31"/>
        <v>NULL</v>
      </c>
      <c r="Y14" s="1">
        <v>0</v>
      </c>
      <c r="Z14" s="66" t="str">
        <f t="shared" si="32"/>
        <v>QGridLayout_M</v>
      </c>
      <c r="AA14" s="66">
        <f>W14</f>
        <v>1</v>
      </c>
      <c r="AB14" s="66" t="str">
        <f t="shared" si="33"/>
        <v>GuiStudyPro</v>
      </c>
    </row>
    <row r="15" spans="1:28" s="66" customFormat="1" ht="16.5" x14ac:dyDescent="0.15">
      <c r="A15" s="54">
        <f t="shared" si="4"/>
        <v>14</v>
      </c>
      <c r="B15" s="54" t="s">
        <v>99</v>
      </c>
      <c r="C15" s="55" t="s">
        <v>19</v>
      </c>
      <c r="D15" s="52">
        <v>0</v>
      </c>
      <c r="E15" s="52">
        <v>0</v>
      </c>
      <c r="F15" s="52">
        <v>10</v>
      </c>
      <c r="G15" s="52">
        <v>1</v>
      </c>
      <c r="H15" s="55" t="s">
        <v>19</v>
      </c>
      <c r="I15" s="52">
        <v>2</v>
      </c>
      <c r="J15" s="55" t="s">
        <v>19</v>
      </c>
      <c r="K15" s="55" t="s">
        <v>19</v>
      </c>
      <c r="L15" s="54" t="str">
        <f t="shared" si="27"/>
        <v>GuiStudyPro</v>
      </c>
      <c r="M15" s="52">
        <f>A9</f>
        <v>8</v>
      </c>
      <c r="N15" s="52">
        <f>A9</f>
        <v>8</v>
      </c>
      <c r="O15" s="55" t="s">
        <v>19</v>
      </c>
      <c r="P15" s="55" t="s">
        <v>19</v>
      </c>
      <c r="Q15" s="55" t="s">
        <v>19</v>
      </c>
      <c r="R15" s="26"/>
      <c r="S15" s="65" t="str">
        <f>B15&amp;I15</f>
        <v>QGridLayout2</v>
      </c>
      <c r="T15" s="65">
        <f t="shared" si="6"/>
        <v>1</v>
      </c>
      <c r="V15" s="66" t="str">
        <f t="shared" si="39"/>
        <v>NULL</v>
      </c>
      <c r="W15" s="66">
        <f t="shared" si="39"/>
        <v>2</v>
      </c>
      <c r="X15" s="66" t="str">
        <f t="shared" si="31"/>
        <v>NULL</v>
      </c>
      <c r="Y15" s="6" t="s">
        <v>40</v>
      </c>
      <c r="Z15" s="66" t="str">
        <f t="shared" si="32"/>
        <v>QGridLayout</v>
      </c>
      <c r="AA15" s="66">
        <f>I15</f>
        <v>2</v>
      </c>
      <c r="AB15" s="66" t="str">
        <f t="shared" si="33"/>
        <v>GuiStudyPro</v>
      </c>
    </row>
    <row r="16" spans="1:28" s="11" customFormat="1" ht="16.5" x14ac:dyDescent="0.15">
      <c r="A16" s="54">
        <f t="shared" si="4"/>
        <v>15</v>
      </c>
      <c r="B16" s="55" t="s">
        <v>27</v>
      </c>
      <c r="C16" s="54" t="s">
        <v>150</v>
      </c>
      <c r="D16" s="52">
        <v>10</v>
      </c>
      <c r="E16" s="52">
        <v>0</v>
      </c>
      <c r="F16" s="52">
        <v>1</v>
      </c>
      <c r="G16" s="52">
        <v>1</v>
      </c>
      <c r="H16" s="55" t="s">
        <v>19</v>
      </c>
      <c r="I16" s="52">
        <f>J16+1</f>
        <v>4</v>
      </c>
      <c r="J16" s="52">
        <f>I17</f>
        <v>3</v>
      </c>
      <c r="K16" s="52" t="s">
        <v>33</v>
      </c>
      <c r="L16" s="54" t="str">
        <f t="shared" si="27"/>
        <v>GuiStudyPro</v>
      </c>
      <c r="M16" s="55" t="s">
        <v>19</v>
      </c>
      <c r="N16" s="55" t="s">
        <v>19</v>
      </c>
      <c r="O16" s="55" t="s">
        <v>19</v>
      </c>
      <c r="P16" s="52">
        <v>2</v>
      </c>
      <c r="Q16" s="52" t="s">
        <v>148</v>
      </c>
      <c r="R16" s="26"/>
      <c r="S16" s="40" t="str">
        <f>B16&amp;I16</f>
        <v>QGroupBox4</v>
      </c>
      <c r="T16" s="40">
        <f t="shared" si="6"/>
        <v>1</v>
      </c>
      <c r="V16" s="11" t="str">
        <f t="shared" ref="V16:V18" si="40">H16</f>
        <v>NULL</v>
      </c>
      <c r="W16" s="11" t="str">
        <f>Q16</f>
        <v>OutputGroup</v>
      </c>
      <c r="X16" s="11" t="str">
        <f t="shared" ref="X16:X18" si="41">O16</f>
        <v>NULL</v>
      </c>
      <c r="Y16" s="12" t="s">
        <v>40</v>
      </c>
      <c r="Z16" s="11" t="str">
        <f t="shared" ref="Z16:Z18" si="42">B16</f>
        <v>QGroupBox</v>
      </c>
      <c r="AA16" s="11">
        <f>I16</f>
        <v>4</v>
      </c>
      <c r="AB16" s="11" t="str">
        <f t="shared" ref="AB16:AB18" si="43">L16</f>
        <v>GuiStudyPro</v>
      </c>
    </row>
    <row r="17" spans="1:28" s="66" customFormat="1" ht="16.5" x14ac:dyDescent="0.15">
      <c r="A17" s="71">
        <f t="shared" si="4"/>
        <v>16</v>
      </c>
      <c r="B17" s="71" t="s">
        <v>99</v>
      </c>
      <c r="C17" s="72" t="s">
        <v>19</v>
      </c>
      <c r="D17" s="73">
        <v>0</v>
      </c>
      <c r="E17" s="73">
        <v>0</v>
      </c>
      <c r="F17" s="73">
        <v>1</v>
      </c>
      <c r="G17" s="73">
        <v>1</v>
      </c>
      <c r="H17" s="72" t="s">
        <v>19</v>
      </c>
      <c r="I17" s="73">
        <v>3</v>
      </c>
      <c r="J17" s="72" t="s">
        <v>19</v>
      </c>
      <c r="K17" s="72" t="s">
        <v>19</v>
      </c>
      <c r="L17" s="71" t="str">
        <f t="shared" si="27"/>
        <v>GuiStudyPro</v>
      </c>
      <c r="M17" s="73">
        <f>A10</f>
        <v>9</v>
      </c>
      <c r="N17" s="73">
        <f>A11</f>
        <v>10</v>
      </c>
      <c r="O17" s="72" t="s">
        <v>19</v>
      </c>
      <c r="P17" s="72" t="s">
        <v>19</v>
      </c>
      <c r="Q17" s="72" t="s">
        <v>19</v>
      </c>
      <c r="R17" s="30"/>
      <c r="S17" s="65" t="str">
        <f>B17&amp;I17</f>
        <v>QGridLayout3</v>
      </c>
      <c r="T17" s="65">
        <f t="shared" si="6"/>
        <v>1</v>
      </c>
      <c r="V17" s="66" t="str">
        <f t="shared" ref="V17" si="44">H17</f>
        <v>NULL</v>
      </c>
      <c r="W17" s="66">
        <f t="shared" ref="W17" si="45">I17</f>
        <v>3</v>
      </c>
      <c r="X17" s="66" t="str">
        <f t="shared" ref="X17" si="46">O17</f>
        <v>NULL</v>
      </c>
      <c r="Y17" s="6" t="s">
        <v>40</v>
      </c>
      <c r="Z17" s="66" t="str">
        <f t="shared" ref="Z17" si="47">B17</f>
        <v>QGridLayout</v>
      </c>
      <c r="AA17" s="66">
        <f>I17</f>
        <v>3</v>
      </c>
      <c r="AB17" s="66" t="str">
        <f t="shared" ref="AB17" si="48">L17</f>
        <v>GuiStudyPro</v>
      </c>
    </row>
    <row r="18" spans="1:28" s="1" customFormat="1" ht="16.5" x14ac:dyDescent="0.15">
      <c r="A18" s="54">
        <f t="shared" si="4"/>
        <v>17</v>
      </c>
      <c r="B18" s="54" t="s">
        <v>100</v>
      </c>
      <c r="C18" s="55" t="s">
        <v>19</v>
      </c>
      <c r="D18" s="52">
        <v>0</v>
      </c>
      <c r="E18" s="52">
        <v>3</v>
      </c>
      <c r="F18" s="52">
        <v>11</v>
      </c>
      <c r="G18" s="52">
        <v>1</v>
      </c>
      <c r="H18" s="55" t="s">
        <v>19</v>
      </c>
      <c r="I18" s="52">
        <v>4</v>
      </c>
      <c r="J18" s="55" t="s">
        <v>19</v>
      </c>
      <c r="K18" s="55" t="s">
        <v>19</v>
      </c>
      <c r="L18" s="54" t="str">
        <f t="shared" si="27"/>
        <v>GuiStudyPro</v>
      </c>
      <c r="M18" s="52">
        <f>A15</f>
        <v>14</v>
      </c>
      <c r="N18" s="52">
        <f>A16</f>
        <v>15</v>
      </c>
      <c r="O18" s="55" t="s">
        <v>19</v>
      </c>
      <c r="P18" s="55" t="s">
        <v>19</v>
      </c>
      <c r="Q18" s="55" t="s">
        <v>19</v>
      </c>
      <c r="R18" s="47"/>
      <c r="S18" s="65" t="str">
        <f>LEFT(B18,LEN(B18)-2)&amp;I18</f>
        <v>QGridLayout4</v>
      </c>
      <c r="T18" s="65">
        <f t="shared" si="6"/>
        <v>1</v>
      </c>
      <c r="V18" s="66" t="str">
        <f t="shared" si="40"/>
        <v>NULL</v>
      </c>
      <c r="W18" s="66">
        <f t="shared" ref="W18" si="49">I18</f>
        <v>4</v>
      </c>
      <c r="X18" s="66" t="str">
        <f t="shared" si="41"/>
        <v>NULL</v>
      </c>
      <c r="Y18" s="1">
        <v>0</v>
      </c>
      <c r="Z18" s="66" t="str">
        <f t="shared" si="42"/>
        <v>QGridLayout_M</v>
      </c>
      <c r="AA18" s="66">
        <f>W18</f>
        <v>4</v>
      </c>
      <c r="AB18" s="66" t="str">
        <f t="shared" si="43"/>
        <v>GuiStudyPro</v>
      </c>
    </row>
  </sheetData>
  <phoneticPr fontId="2" type="noConversion"/>
  <conditionalFormatting sqref="T1">
    <cfRule type="cellIs" dxfId="37" priority="47" operator="lessThan">
      <formula>0.5</formula>
    </cfRule>
    <cfRule type="cellIs" dxfId="36" priority="48" operator="greaterThan">
      <formula>0</formula>
    </cfRule>
  </conditionalFormatting>
  <conditionalFormatting sqref="T2">
    <cfRule type="cellIs" dxfId="35" priority="45" operator="lessThan">
      <formula>0.5</formula>
    </cfRule>
    <cfRule type="cellIs" dxfId="34" priority="46" operator="greaterThan">
      <formula>0</formula>
    </cfRule>
  </conditionalFormatting>
  <conditionalFormatting sqref="T3">
    <cfRule type="cellIs" dxfId="33" priority="43" operator="lessThan">
      <formula>0.5</formula>
    </cfRule>
    <cfRule type="cellIs" dxfId="32" priority="44" operator="greaterThan">
      <formula>0</formula>
    </cfRule>
  </conditionalFormatting>
  <conditionalFormatting sqref="T4">
    <cfRule type="cellIs" dxfId="31" priority="41" operator="lessThan">
      <formula>0.5</formula>
    </cfRule>
    <cfRule type="cellIs" dxfId="30" priority="42" operator="greaterThan">
      <formula>0</formula>
    </cfRule>
  </conditionalFormatting>
  <conditionalFormatting sqref="T5">
    <cfRule type="cellIs" dxfId="29" priority="39" operator="lessThan">
      <formula>0.5</formula>
    </cfRule>
    <cfRule type="cellIs" dxfId="28" priority="40" operator="greaterThan">
      <formula>0</formula>
    </cfRule>
  </conditionalFormatting>
  <conditionalFormatting sqref="T6">
    <cfRule type="cellIs" dxfId="27" priority="37" operator="lessThan">
      <formula>0.5</formula>
    </cfRule>
    <cfRule type="cellIs" dxfId="26" priority="38" operator="greaterThan">
      <formula>0</formula>
    </cfRule>
  </conditionalFormatting>
  <conditionalFormatting sqref="T8">
    <cfRule type="cellIs" dxfId="25" priority="35" operator="lessThan">
      <formula>0.5</formula>
    </cfRule>
    <cfRule type="cellIs" dxfId="24" priority="36" operator="greaterThan">
      <formula>0</formula>
    </cfRule>
  </conditionalFormatting>
  <conditionalFormatting sqref="T9">
    <cfRule type="cellIs" dxfId="23" priority="33" operator="lessThan">
      <formula>0.5</formula>
    </cfRule>
    <cfRule type="cellIs" dxfId="22" priority="34" operator="greaterThan">
      <formula>0</formula>
    </cfRule>
  </conditionalFormatting>
  <conditionalFormatting sqref="T10">
    <cfRule type="cellIs" dxfId="21" priority="31" operator="lessThan">
      <formula>0.5</formula>
    </cfRule>
    <cfRule type="cellIs" dxfId="20" priority="32" operator="greaterThan">
      <formula>0</formula>
    </cfRule>
  </conditionalFormatting>
  <conditionalFormatting sqref="T11">
    <cfRule type="cellIs" dxfId="19" priority="29" operator="lessThan">
      <formula>0.5</formula>
    </cfRule>
    <cfRule type="cellIs" dxfId="18" priority="30" operator="greaterThan">
      <formula>0</formula>
    </cfRule>
  </conditionalFormatting>
  <conditionalFormatting sqref="T12">
    <cfRule type="cellIs" dxfId="17" priority="27" operator="lessThan">
      <formula>0.5</formula>
    </cfRule>
    <cfRule type="cellIs" dxfId="16" priority="28" operator="greaterThan">
      <formula>0</formula>
    </cfRule>
  </conditionalFormatting>
  <conditionalFormatting sqref="T13">
    <cfRule type="cellIs" dxfId="15" priority="25" operator="lessThan">
      <formula>0.5</formula>
    </cfRule>
    <cfRule type="cellIs" dxfId="14" priority="26" operator="greaterThan">
      <formula>0</formula>
    </cfRule>
  </conditionalFormatting>
  <conditionalFormatting sqref="T14">
    <cfRule type="cellIs" dxfId="13" priority="21" operator="lessThan">
      <formula>0.5</formula>
    </cfRule>
    <cfRule type="cellIs" dxfId="12" priority="22" operator="greaterThan">
      <formula>0</formula>
    </cfRule>
  </conditionalFormatting>
  <conditionalFormatting sqref="T15">
    <cfRule type="cellIs" dxfId="11" priority="19" operator="lessThan">
      <formula>0.5</formula>
    </cfRule>
    <cfRule type="cellIs" dxfId="10" priority="20" operator="greaterThan">
      <formula>0</formula>
    </cfRule>
  </conditionalFormatting>
  <conditionalFormatting sqref="T16">
    <cfRule type="cellIs" dxfId="9" priority="7" operator="lessThan">
      <formula>0.5</formula>
    </cfRule>
    <cfRule type="cellIs" dxfId="8" priority="8" operator="greaterThan">
      <formula>0</formula>
    </cfRule>
  </conditionalFormatting>
  <conditionalFormatting sqref="T18">
    <cfRule type="cellIs" dxfId="7" priority="5" operator="lessThan">
      <formula>0.5</formula>
    </cfRule>
    <cfRule type="cellIs" dxfId="6" priority="6" operator="greaterThan">
      <formula>0</formula>
    </cfRule>
  </conditionalFormatting>
  <conditionalFormatting sqref="T7">
    <cfRule type="cellIs" dxfId="5" priority="3" operator="lessThan">
      <formula>0.5</formula>
    </cfRule>
    <cfRule type="cellIs" dxfId="4" priority="4" operator="greaterThan">
      <formula>0</formula>
    </cfRule>
  </conditionalFormatting>
  <conditionalFormatting sqref="T17">
    <cfRule type="cellIs" dxfId="3" priority="1" operator="lessThan">
      <formula>0.5</formula>
    </cfRule>
    <cfRule type="cellIs" dxfId="2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M2:M11 I12:I18 D2:E18">
      <formula1>0</formula1>
      <formula2>499</formula2>
    </dataValidation>
    <dataValidation type="whole" allowBlank="1" showInputMessage="1" showErrorMessage="1" errorTitle="输入值无效" error="请输入1-100的整数" sqref="F2:G18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4" name="Button 41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5" name="Button 42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AllNoChange!$G$2</xm:f>
          </x14:formula1>
          <xm:sqref>O2:Q6 H11:H18 P7:Q9 O17:Q18 N7:N9 H9:K9 O9 C9:C10 P10 H10:I10 C12:C15 K11:K12 N11:Q11 J12 J13:K15 O12:Q15 C7 C17:C18 J17:K18 J2:J6 H2:H6 H7:K7 O7 M16:O16 K8</xm:sqref>
        </x14:dataValidation>
        <x14:dataValidation type="list" allowBlank="1" showInputMessage="1" showErrorMessage="1">
          <x14:formula1>
            <xm:f>AllNoChange!$A$2:$A$16</xm:f>
          </x14:formula1>
          <xm:sqref>B2:B6</xm:sqref>
        </x14:dataValidation>
        <x14:dataValidation type="list" allowBlank="1" showInputMessage="1" showErrorMessage="1">
          <x14:formula1>
            <xm:f>AllNoChange!$C$2:$C$5</xm:f>
          </x14:formula1>
          <xm:sqref>J11 J8</xm:sqref>
        </x14:dataValidation>
        <x14:dataValidation type="list" allowBlank="1" showInputMessage="1" showErrorMessage="1">
          <x14:formula1>
            <xm:f>AllNoChange!$B$2:$B$5</xm:f>
          </x14:formula1>
          <xm:sqref>I11 I8</xm:sqref>
        </x14:dataValidation>
        <x14:dataValidation type="list" allowBlank="1" showInputMessage="1" showErrorMessage="1">
          <x14:formula1>
            <xm:f>AllNoChange!$G$6:$G$8</xm:f>
          </x14:formula1>
          <xm:sqref>P16</xm:sqref>
        </x14:dataValidation>
        <x14:dataValidation type="list" allowBlank="1" showInputMessage="1" showErrorMessage="1">
          <x14:formula1>
            <xm:f>AllNoChange!$F$6:$F$7</xm:f>
          </x14:formula1>
          <xm:sqref>K16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Q16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N2:N6</xm:sqref>
        </x14:dataValidation>
        <x14:dataValidation type="list" allowBlank="1" showInputMessage="1" showErrorMessage="1">
          <x14:formula1>
            <xm:f>AllNoChange!$A$2:$A$18</xm:f>
          </x14:formula1>
          <xm:sqref>B7:B18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BASEGUI</vt:lpstr>
      <vt:lpstr>AllNoChange</vt:lpstr>
      <vt:lpstr>FatigueAdvanceGui</vt:lpstr>
      <vt:lpstr>StudyGUI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Yujie Li</cp:lastModifiedBy>
  <dcterms:created xsi:type="dcterms:W3CDTF">2017-07-16T14:54:00Z</dcterms:created>
  <dcterms:modified xsi:type="dcterms:W3CDTF">2018-06-25T05:52:55Z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