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QT_study\Cplus_study\QT_HPC_study\QT_HPC_study\ConfigurationFolder\"/>
    </mc:Choice>
  </mc:AlternateContent>
  <bookViews>
    <workbookView xWindow="21360" yWindow="0" windowWidth="13185" windowHeight="12585" activeTab="3"/>
  </bookViews>
  <sheets>
    <sheet name="BASEGUI" sheetId="10" r:id="rId1"/>
    <sheet name="AllNoChange" sheetId="9" r:id="rId2"/>
    <sheet name="FatigueAdvanceGui" sheetId="7" r:id="rId3"/>
    <sheet name="StudyGUI" sheetId="11" r:id="rId4"/>
  </sheets>
  <functionGroups builtInGroupCount="18"/>
  <definedNames>
    <definedName name="_xlnm._FilterDatabase" localSheetId="0" hidden="1">BASEGUI!$A$1:$Q$19</definedName>
  </definedNames>
  <calcPr calcId="152511"/>
</workbook>
</file>

<file path=xl/calcChain.xml><?xml version="1.0" encoding="utf-8"?>
<calcChain xmlns="http://schemas.openxmlformats.org/spreadsheetml/2006/main">
  <c r="N30" i="11" l="1"/>
  <c r="AA18" i="11"/>
  <c r="Z18" i="11"/>
  <c r="X18" i="11"/>
  <c r="W18" i="11"/>
  <c r="V18" i="11"/>
  <c r="S18" i="11"/>
  <c r="L18" i="11"/>
  <c r="AB18" i="11" s="1"/>
  <c r="A18" i="11"/>
  <c r="AA14" i="11"/>
  <c r="Z14" i="11"/>
  <c r="X14" i="11"/>
  <c r="W14" i="11"/>
  <c r="V14" i="11"/>
  <c r="S14" i="11"/>
  <c r="L14" i="11"/>
  <c r="AB14" i="11" s="1"/>
  <c r="A14" i="11"/>
  <c r="D19" i="11"/>
  <c r="E18" i="11"/>
  <c r="D15" i="11"/>
  <c r="E14" i="11"/>
  <c r="T14" i="11" l="1"/>
  <c r="AA19" i="11"/>
  <c r="Z19" i="11"/>
  <c r="X19" i="11"/>
  <c r="W19" i="11"/>
  <c r="V19" i="11"/>
  <c r="S19" i="11"/>
  <c r="L19" i="11"/>
  <c r="AB19" i="11" s="1"/>
  <c r="A19" i="11"/>
  <c r="N25" i="11" s="1"/>
  <c r="AA15" i="11"/>
  <c r="Z15" i="11"/>
  <c r="X15" i="11"/>
  <c r="W15" i="11"/>
  <c r="V15" i="11"/>
  <c r="S15" i="11"/>
  <c r="T15" i="11" s="1"/>
  <c r="L15" i="11"/>
  <c r="AB15" i="11" s="1"/>
  <c r="A15" i="11"/>
  <c r="N24" i="11" s="1"/>
  <c r="T19" i="11" l="1"/>
  <c r="T18" i="11"/>
  <c r="J29" i="11"/>
  <c r="J28" i="11"/>
  <c r="J27" i="11"/>
  <c r="AA26" i="11"/>
  <c r="Z26" i="11"/>
  <c r="X26" i="11"/>
  <c r="W26" i="11"/>
  <c r="V26" i="11"/>
  <c r="S26" i="11"/>
  <c r="L26" i="11"/>
  <c r="AB26" i="11" s="1"/>
  <c r="A26" i="11"/>
  <c r="AA25" i="11"/>
  <c r="Z25" i="11"/>
  <c r="X25" i="11"/>
  <c r="W25" i="11"/>
  <c r="V25" i="11"/>
  <c r="S25" i="11"/>
  <c r="L25" i="11"/>
  <c r="AB25" i="11" s="1"/>
  <c r="A25" i="11"/>
  <c r="AA28" i="11"/>
  <c r="Z28" i="11"/>
  <c r="X28" i="11"/>
  <c r="W28" i="11"/>
  <c r="V28" i="11"/>
  <c r="S28" i="11"/>
  <c r="L28" i="11"/>
  <c r="AB28" i="11" s="1"/>
  <c r="A28" i="11"/>
  <c r="AA27" i="11"/>
  <c r="Z27" i="11"/>
  <c r="X27" i="11"/>
  <c r="W27" i="11"/>
  <c r="V27" i="11"/>
  <c r="S27" i="11"/>
  <c r="L27" i="11"/>
  <c r="AB27" i="11" s="1"/>
  <c r="A27" i="11"/>
  <c r="M31" i="11" s="1"/>
  <c r="Z30" i="11"/>
  <c r="X30" i="11"/>
  <c r="W30" i="11"/>
  <c r="AA30" i="11" s="1"/>
  <c r="V30" i="11"/>
  <c r="S30" i="11"/>
  <c r="L30" i="11"/>
  <c r="AB30" i="11" s="1"/>
  <c r="A30" i="11"/>
  <c r="AA10" i="11"/>
  <c r="Z10" i="11"/>
  <c r="X10" i="11"/>
  <c r="W10" i="11"/>
  <c r="V10" i="11"/>
  <c r="S10" i="11"/>
  <c r="L10" i="11"/>
  <c r="AB10" i="11" s="1"/>
  <c r="A10" i="11"/>
  <c r="N22" i="11" s="1"/>
  <c r="AA6" i="11"/>
  <c r="Z6" i="11"/>
  <c r="X6" i="11"/>
  <c r="W6" i="11"/>
  <c r="V6" i="11"/>
  <c r="S6" i="11"/>
  <c r="L6" i="11"/>
  <c r="AB6" i="11" s="1"/>
  <c r="A6" i="11"/>
  <c r="AA17" i="11"/>
  <c r="Z17" i="11"/>
  <c r="X17" i="11"/>
  <c r="W17" i="11"/>
  <c r="V17" i="11"/>
  <c r="S17" i="11"/>
  <c r="L17" i="11"/>
  <c r="AB17" i="11" s="1"/>
  <c r="A17" i="11"/>
  <c r="AA16" i="11"/>
  <c r="Z16" i="11"/>
  <c r="X16" i="11"/>
  <c r="W16" i="11"/>
  <c r="V16" i="11"/>
  <c r="S16" i="11"/>
  <c r="L16" i="11"/>
  <c r="AB16" i="11" s="1"/>
  <c r="A16" i="11"/>
  <c r="M25" i="11" s="1"/>
  <c r="AA13" i="11"/>
  <c r="Z13" i="11"/>
  <c r="X13" i="11"/>
  <c r="W13" i="11"/>
  <c r="V13" i="11"/>
  <c r="S13" i="11"/>
  <c r="L13" i="11"/>
  <c r="AB13" i="11" s="1"/>
  <c r="A13" i="11"/>
  <c r="AA12" i="11"/>
  <c r="Z12" i="11"/>
  <c r="X12" i="11"/>
  <c r="W12" i="11"/>
  <c r="V12" i="11"/>
  <c r="S12" i="11"/>
  <c r="L12" i="11"/>
  <c r="AB12" i="11" s="1"/>
  <c r="A12" i="11"/>
  <c r="M24" i="11" s="1"/>
  <c r="J18" i="10" l="1"/>
  <c r="Z18" i="10" l="1"/>
  <c r="X18" i="10"/>
  <c r="W18" i="10"/>
  <c r="V18" i="10"/>
  <c r="L18" i="10"/>
  <c r="AB18" i="10" s="1"/>
  <c r="A18" i="10"/>
  <c r="AA18" i="10" l="1"/>
  <c r="S18" i="10"/>
  <c r="T18" i="10" s="1"/>
  <c r="AA9" i="11"/>
  <c r="Z9" i="11"/>
  <c r="W9" i="11"/>
  <c r="V9" i="11"/>
  <c r="S9" i="11"/>
  <c r="X9" i="11"/>
  <c r="L9" i="11"/>
  <c r="AB9" i="11" s="1"/>
  <c r="A9" i="11"/>
  <c r="AA7" i="11" l="1"/>
  <c r="Z7" i="11"/>
  <c r="X7" i="11"/>
  <c r="W7" i="11"/>
  <c r="V7" i="11"/>
  <c r="S7" i="11"/>
  <c r="L7" i="11"/>
  <c r="AB7" i="11" s="1"/>
  <c r="A7" i="11"/>
  <c r="A8" i="11"/>
  <c r="L8" i="11"/>
  <c r="AB8" i="11" s="1"/>
  <c r="S8" i="11"/>
  <c r="V8" i="11"/>
  <c r="W8" i="11"/>
  <c r="X8" i="11"/>
  <c r="Z8" i="11"/>
  <c r="AA8" i="11"/>
  <c r="AB17" i="10" l="1"/>
  <c r="AA17" i="10"/>
  <c r="Z17" i="10"/>
  <c r="X17" i="10"/>
  <c r="W17" i="10"/>
  <c r="V17" i="10"/>
  <c r="S17" i="10"/>
  <c r="A17" i="10"/>
  <c r="I29" i="11" l="1"/>
  <c r="Z31" i="11"/>
  <c r="X31" i="11"/>
  <c r="W31" i="11"/>
  <c r="AA31" i="11" s="1"/>
  <c r="V31" i="11"/>
  <c r="S31" i="11"/>
  <c r="L31" i="11"/>
  <c r="AB31" i="11" s="1"/>
  <c r="A31" i="11"/>
  <c r="Z29" i="11"/>
  <c r="X29" i="11"/>
  <c r="W29" i="11"/>
  <c r="V29" i="11"/>
  <c r="L29" i="11"/>
  <c r="AB29" i="11" s="1"/>
  <c r="A29" i="11"/>
  <c r="AA24" i="11"/>
  <c r="Z24" i="11"/>
  <c r="X24" i="11"/>
  <c r="W24" i="11"/>
  <c r="V24" i="11"/>
  <c r="S24" i="11"/>
  <c r="L24" i="11"/>
  <c r="AB24" i="11" s="1"/>
  <c r="A24" i="11"/>
  <c r="S12" i="10"/>
  <c r="AA23" i="11"/>
  <c r="Z23" i="11"/>
  <c r="X23" i="11"/>
  <c r="W23" i="11"/>
  <c r="V23" i="11"/>
  <c r="S23" i="11"/>
  <c r="L23" i="11"/>
  <c r="AB23" i="11" s="1"/>
  <c r="A23" i="11"/>
  <c r="Z22" i="11"/>
  <c r="X22" i="11"/>
  <c r="W22" i="11"/>
  <c r="AA22" i="11" s="1"/>
  <c r="V22" i="11"/>
  <c r="S22" i="11"/>
  <c r="L22" i="11"/>
  <c r="AB22" i="11" s="1"/>
  <c r="A22" i="11"/>
  <c r="M30" i="11" s="1"/>
  <c r="L21" i="11"/>
  <c r="AB21" i="11" s="1"/>
  <c r="L11" i="11"/>
  <c r="AB11" i="11" s="1"/>
  <c r="L5" i="11"/>
  <c r="AB5" i="11" s="1"/>
  <c r="L4" i="11"/>
  <c r="AB4" i="11" s="1"/>
  <c r="L3" i="11"/>
  <c r="AB3" i="11" s="1"/>
  <c r="AA21" i="11"/>
  <c r="Z21" i="11"/>
  <c r="X21" i="11"/>
  <c r="W21" i="11"/>
  <c r="V21" i="11"/>
  <c r="S21" i="11"/>
  <c r="A21" i="11"/>
  <c r="N26" i="11" s="1"/>
  <c r="AA20" i="11"/>
  <c r="Z20" i="11"/>
  <c r="X20" i="11"/>
  <c r="W20" i="11"/>
  <c r="V20" i="11"/>
  <c r="S20" i="11"/>
  <c r="L20" i="11"/>
  <c r="AB20" i="11" s="1"/>
  <c r="A20" i="11"/>
  <c r="M26" i="11" s="1"/>
  <c r="AA11" i="11"/>
  <c r="Z11" i="11"/>
  <c r="W11" i="11"/>
  <c r="V11" i="11"/>
  <c r="S11" i="11"/>
  <c r="X11" i="11"/>
  <c r="A11" i="11"/>
  <c r="N23" i="11" s="1"/>
  <c r="AA5" i="11"/>
  <c r="Z5" i="11"/>
  <c r="X5" i="11"/>
  <c r="W5" i="11"/>
  <c r="V5" i="11"/>
  <c r="S5" i="11"/>
  <c r="A5" i="11"/>
  <c r="AA4" i="11"/>
  <c r="Z4" i="11"/>
  <c r="X4" i="11"/>
  <c r="W4" i="11"/>
  <c r="V4" i="11"/>
  <c r="S4" i="11"/>
  <c r="A4" i="11"/>
  <c r="AA3" i="11"/>
  <c r="Z3" i="11"/>
  <c r="X3" i="11"/>
  <c r="W3" i="11"/>
  <c r="V3" i="11"/>
  <c r="S3" i="11"/>
  <c r="A3" i="11"/>
  <c r="AA2" i="11"/>
  <c r="Z2" i="11"/>
  <c r="X2" i="11"/>
  <c r="W2" i="11"/>
  <c r="V2" i="11"/>
  <c r="S2" i="11"/>
  <c r="A2" i="11"/>
  <c r="M22" i="11" s="1"/>
  <c r="AA1" i="11"/>
  <c r="Z1" i="11"/>
  <c r="X1" i="11"/>
  <c r="W1" i="11"/>
  <c r="V1" i="11"/>
  <c r="N31" i="11" l="1"/>
  <c r="M23" i="11"/>
  <c r="AA29" i="11"/>
  <c r="S29" i="11"/>
  <c r="T10" i="11" s="1"/>
  <c r="AA1" i="7"/>
  <c r="Z1" i="7"/>
  <c r="X1" i="7"/>
  <c r="W1" i="7"/>
  <c r="V1" i="7"/>
  <c r="T26" i="11" l="1"/>
  <c r="T8" i="11"/>
  <c r="T25" i="11"/>
  <c r="T9" i="11"/>
  <c r="T31" i="11"/>
  <c r="T6" i="11"/>
  <c r="T27" i="11"/>
  <c r="T17" i="11"/>
  <c r="T28" i="11"/>
  <c r="T7" i="11"/>
  <c r="T13" i="11"/>
  <c r="T30" i="11"/>
  <c r="T12" i="11"/>
  <c r="T16" i="11"/>
  <c r="T29" i="11"/>
  <c r="S42" i="7"/>
  <c r="S41" i="7"/>
  <c r="S39" i="7"/>
  <c r="S37" i="7"/>
  <c r="S35" i="7"/>
  <c r="S34" i="7"/>
  <c r="S32" i="7"/>
  <c r="S44" i="7"/>
  <c r="S45" i="7"/>
  <c r="S46" i="7"/>
  <c r="S47" i="7"/>
  <c r="S8" i="7"/>
  <c r="S11" i="7"/>
  <c r="S14" i="7"/>
  <c r="S15" i="7"/>
  <c r="S16" i="7"/>
  <c r="S17" i="7"/>
  <c r="S18" i="7"/>
  <c r="S19" i="7"/>
  <c r="S22" i="7"/>
  <c r="S25" i="7"/>
  <c r="S28" i="7"/>
  <c r="S5" i="7"/>
  <c r="S2" i="7"/>
  <c r="S11" i="10"/>
  <c r="S9" i="10"/>
  <c r="S3" i="10"/>
  <c r="T17" i="10" s="1"/>
  <c r="S4" i="10"/>
  <c r="S5" i="10"/>
  <c r="S6" i="10"/>
  <c r="S7" i="10"/>
  <c r="S8" i="10"/>
  <c r="S14" i="10"/>
  <c r="S15" i="10"/>
  <c r="S16" i="10"/>
  <c r="S19" i="10"/>
  <c r="S2" i="10"/>
  <c r="T3" i="11" l="1"/>
  <c r="T2" i="11"/>
  <c r="T24" i="11"/>
  <c r="T21" i="11"/>
  <c r="T5" i="11"/>
  <c r="T22" i="11"/>
  <c r="T4" i="11"/>
  <c r="T11" i="11"/>
  <c r="T20" i="11"/>
  <c r="T23" i="11"/>
  <c r="L8" i="10"/>
  <c r="AB8" i="10" s="1"/>
  <c r="A8" i="10"/>
  <c r="Z8" i="10"/>
  <c r="X8" i="10"/>
  <c r="V8" i="10"/>
  <c r="W8" i="10"/>
  <c r="AA8" i="10" l="1"/>
  <c r="J13" i="10" l="1"/>
  <c r="I13" i="10"/>
  <c r="S13" i="10" s="1"/>
  <c r="W10" i="10"/>
  <c r="L4" i="10"/>
  <c r="L5" i="10"/>
  <c r="L6" i="10"/>
  <c r="L7" i="10"/>
  <c r="L9" i="10"/>
  <c r="L10" i="10"/>
  <c r="L11" i="10"/>
  <c r="L12" i="10"/>
  <c r="L13" i="10"/>
  <c r="L14" i="10"/>
  <c r="L15" i="10"/>
  <c r="L16" i="10"/>
  <c r="AB16" i="10" s="1"/>
  <c r="L19" i="10"/>
  <c r="L20" i="10"/>
  <c r="L3" i="10"/>
  <c r="A9" i="10"/>
  <c r="N12" i="10" s="1"/>
  <c r="A10" i="10"/>
  <c r="M13" i="10" s="1"/>
  <c r="A11" i="10"/>
  <c r="A12" i="10"/>
  <c r="N13" i="10" s="1"/>
  <c r="A13" i="10"/>
  <c r="A14" i="10"/>
  <c r="A15" i="10"/>
  <c r="A16" i="10"/>
  <c r="A19" i="10"/>
  <c r="A7" i="10"/>
  <c r="M12" i="10" s="1"/>
  <c r="A6" i="10"/>
  <c r="N11" i="10" s="1"/>
  <c r="A5" i="10"/>
  <c r="A4" i="10"/>
  <c r="N9" i="10" s="1"/>
  <c r="A3" i="10"/>
  <c r="A2" i="10"/>
  <c r="M9" i="10" s="1"/>
  <c r="AA16" i="10"/>
  <c r="Z16" i="10"/>
  <c r="X16" i="10"/>
  <c r="W16" i="10"/>
  <c r="V16" i="10"/>
  <c r="M11" i="10" l="1"/>
  <c r="AB15" i="10"/>
  <c r="AA15" i="10"/>
  <c r="Z15" i="10"/>
  <c r="X15" i="10"/>
  <c r="W15" i="10"/>
  <c r="V15" i="10"/>
  <c r="AB14" i="10"/>
  <c r="AA14" i="10"/>
  <c r="Z14" i="10"/>
  <c r="Y14" i="10"/>
  <c r="X14" i="10"/>
  <c r="W14" i="10"/>
  <c r="V14" i="10"/>
  <c r="AB13" i="10"/>
  <c r="Z13" i="10"/>
  <c r="X13" i="10"/>
  <c r="W13" i="10"/>
  <c r="V13" i="10"/>
  <c r="AA13" i="10"/>
  <c r="AB12" i="10"/>
  <c r="Z12" i="10"/>
  <c r="X12" i="10"/>
  <c r="W12" i="10"/>
  <c r="AA12" i="10" s="1"/>
  <c r="V12" i="10"/>
  <c r="AB11" i="10"/>
  <c r="Z11" i="10"/>
  <c r="X11" i="10"/>
  <c r="W11" i="10"/>
  <c r="AA11" i="10" s="1"/>
  <c r="V11" i="10"/>
  <c r="AB10" i="10"/>
  <c r="Z10" i="10"/>
  <c r="X10" i="10"/>
  <c r="V10" i="10"/>
  <c r="J10" i="10"/>
  <c r="I10" i="10" s="1"/>
  <c r="AB9" i="10"/>
  <c r="AA9" i="10"/>
  <c r="Z9" i="10"/>
  <c r="X9" i="10"/>
  <c r="W9" i="10"/>
  <c r="V9" i="10"/>
  <c r="AB7" i="10"/>
  <c r="AA7" i="10"/>
  <c r="Z7" i="10"/>
  <c r="X7" i="10"/>
  <c r="W7" i="10"/>
  <c r="V7" i="10"/>
  <c r="AB6" i="10"/>
  <c r="Z6" i="10"/>
  <c r="X6" i="10"/>
  <c r="W6" i="10"/>
  <c r="V6" i="10"/>
  <c r="AB5" i="10"/>
  <c r="Z5" i="10"/>
  <c r="X5" i="10"/>
  <c r="W5" i="10"/>
  <c r="V5" i="10"/>
  <c r="AA6" i="10"/>
  <c r="Z4" i="10"/>
  <c r="X4" i="10"/>
  <c r="W4" i="10"/>
  <c r="V4" i="10"/>
  <c r="Z3" i="10"/>
  <c r="W3" i="10"/>
  <c r="V3" i="10"/>
  <c r="O3" i="10"/>
  <c r="X3" i="10" s="1"/>
  <c r="AA3" i="10"/>
  <c r="AB3" i="10"/>
  <c r="AB2" i="10"/>
  <c r="AB1" i="10" s="1"/>
  <c r="AA2" i="10"/>
  <c r="Z2" i="10"/>
  <c r="X2" i="10"/>
  <c r="W2" i="10"/>
  <c r="V2" i="10"/>
  <c r="AA1" i="10"/>
  <c r="Z1" i="10"/>
  <c r="X1" i="10"/>
  <c r="W1" i="10"/>
  <c r="V1" i="10"/>
  <c r="AA10" i="10" l="1"/>
  <c r="S10" i="10"/>
  <c r="AA4" i="10"/>
  <c r="AA5" i="10"/>
  <c r="AB4" i="10"/>
  <c r="AB46" i="7"/>
  <c r="AA46" i="7"/>
  <c r="Z46" i="7"/>
  <c r="X46" i="7"/>
  <c r="W46" i="7"/>
  <c r="V46" i="7"/>
  <c r="T3" i="10" l="1"/>
  <c r="T10" i="10"/>
  <c r="T9" i="10"/>
  <c r="T4" i="10"/>
  <c r="T16" i="10"/>
  <c r="T6" i="10"/>
  <c r="T5" i="10"/>
  <c r="T19" i="10"/>
  <c r="T14" i="10"/>
  <c r="T8" i="10"/>
  <c r="T7" i="10"/>
  <c r="T15" i="10"/>
  <c r="T2" i="10"/>
  <c r="T12" i="10"/>
  <c r="T11" i="10"/>
  <c r="T13" i="10"/>
  <c r="AB31" i="7"/>
  <c r="Z31" i="7"/>
  <c r="X31" i="7"/>
  <c r="W31" i="7"/>
  <c r="V31" i="7"/>
  <c r="E31" i="7"/>
  <c r="AB30" i="7"/>
  <c r="Z30" i="7"/>
  <c r="X30" i="7"/>
  <c r="W30" i="7"/>
  <c r="V30" i="7"/>
  <c r="AB24" i="7"/>
  <c r="Z24" i="7"/>
  <c r="X24" i="7"/>
  <c r="W24" i="7"/>
  <c r="V24" i="7"/>
  <c r="AB27" i="7"/>
  <c r="Z27" i="7"/>
  <c r="X27" i="7"/>
  <c r="W27" i="7"/>
  <c r="V27" i="7"/>
  <c r="M27" i="7"/>
  <c r="Z29" i="7"/>
  <c r="W29" i="7"/>
  <c r="V29" i="7"/>
  <c r="O29" i="7"/>
  <c r="X29" i="7" s="1"/>
  <c r="M29" i="7"/>
  <c r="L29" i="7"/>
  <c r="AB29" i="7" s="1"/>
  <c r="E29" i="7"/>
  <c r="AB28" i="7"/>
  <c r="AA28" i="7"/>
  <c r="Z28" i="7"/>
  <c r="X28" i="7"/>
  <c r="W28" i="7"/>
  <c r="V28" i="7"/>
  <c r="Z26" i="7"/>
  <c r="W26" i="7"/>
  <c r="V26" i="7"/>
  <c r="O26" i="7"/>
  <c r="X26" i="7" s="1"/>
  <c r="M26" i="7"/>
  <c r="L26" i="7"/>
  <c r="AB26" i="7" s="1"/>
  <c r="E26" i="7"/>
  <c r="D26" i="7"/>
  <c r="AB25" i="7"/>
  <c r="AA25" i="7"/>
  <c r="Z25" i="7"/>
  <c r="X25" i="7"/>
  <c r="W25" i="7"/>
  <c r="V25" i="7"/>
  <c r="AA26" i="7" l="1"/>
  <c r="S26" i="7"/>
  <c r="AA29" i="7"/>
  <c r="S29" i="7"/>
  <c r="M30" i="7"/>
  <c r="AA27" i="7"/>
  <c r="S27" i="7"/>
  <c r="E20" i="7"/>
  <c r="AB18" i="7"/>
  <c r="AA18" i="7"/>
  <c r="Z18" i="7"/>
  <c r="X18" i="7"/>
  <c r="W18" i="7"/>
  <c r="V18" i="7"/>
  <c r="AA30" i="7" l="1"/>
  <c r="S30" i="7"/>
  <c r="M31" i="7"/>
  <c r="AB41" i="7"/>
  <c r="Z41" i="7"/>
  <c r="X41" i="7"/>
  <c r="W41" i="7"/>
  <c r="AA41" i="7" s="1"/>
  <c r="V41" i="7"/>
  <c r="AB43" i="7"/>
  <c r="Z43" i="7"/>
  <c r="X43" i="7"/>
  <c r="W43" i="7"/>
  <c r="V43" i="7"/>
  <c r="J43" i="7"/>
  <c r="I43" i="7"/>
  <c r="AB42" i="7"/>
  <c r="AA42" i="7"/>
  <c r="Z42" i="7"/>
  <c r="X42" i="7"/>
  <c r="W42" i="7"/>
  <c r="V42" i="7"/>
  <c r="M23" i="7"/>
  <c r="S23" i="7" s="1"/>
  <c r="Z23" i="7"/>
  <c r="W23" i="7"/>
  <c r="V23" i="7"/>
  <c r="O23" i="7"/>
  <c r="X23" i="7" s="1"/>
  <c r="L23" i="7"/>
  <c r="AB23" i="7" s="1"/>
  <c r="E23" i="7"/>
  <c r="D23" i="7"/>
  <c r="AB22" i="7"/>
  <c r="AA22" i="7"/>
  <c r="Z22" i="7"/>
  <c r="X22" i="7"/>
  <c r="W22" i="7"/>
  <c r="V22" i="7"/>
  <c r="S31" i="7" l="1"/>
  <c r="AA31" i="7"/>
  <c r="AA43" i="7"/>
  <c r="S43" i="7"/>
  <c r="AA23" i="7"/>
  <c r="M24" i="7"/>
  <c r="AA17" i="7"/>
  <c r="AA24" i="7" l="1"/>
  <c r="S24" i="7"/>
  <c r="O3" i="7"/>
  <c r="AB17" i="7"/>
  <c r="Z17" i="7"/>
  <c r="X17" i="7"/>
  <c r="W17" i="7"/>
  <c r="V17" i="7"/>
  <c r="E17" i="7"/>
  <c r="E18" i="7" s="1"/>
  <c r="Y44" i="7"/>
  <c r="A3" i="7" l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N42" i="7" l="1"/>
  <c r="A32" i="7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M20" i="7"/>
  <c r="AA20" i="7" l="1"/>
  <c r="S20" i="7"/>
  <c r="M41" i="7"/>
  <c r="M21" i="7"/>
  <c r="S21" i="7" s="1"/>
  <c r="W40" i="7"/>
  <c r="W15" i="7"/>
  <c r="W14" i="7"/>
  <c r="AB35" i="7"/>
  <c r="AA35" i="7"/>
  <c r="Z35" i="7"/>
  <c r="X35" i="7"/>
  <c r="W35" i="7"/>
  <c r="V35" i="7"/>
  <c r="AB36" i="7"/>
  <c r="Z36" i="7"/>
  <c r="X36" i="7"/>
  <c r="V36" i="7"/>
  <c r="J36" i="7"/>
  <c r="I36" i="7"/>
  <c r="AB34" i="7"/>
  <c r="Z34" i="7"/>
  <c r="X34" i="7"/>
  <c r="W34" i="7"/>
  <c r="AA34" i="7" s="1"/>
  <c r="V34" i="7"/>
  <c r="AB38" i="7"/>
  <c r="Z38" i="7"/>
  <c r="X38" i="7"/>
  <c r="V38" i="7"/>
  <c r="J38" i="7"/>
  <c r="I38" i="7"/>
  <c r="AB37" i="7"/>
  <c r="AA37" i="7"/>
  <c r="Z37" i="7"/>
  <c r="X37" i="7"/>
  <c r="W37" i="7"/>
  <c r="V37" i="7"/>
  <c r="M32" i="7"/>
  <c r="E21" i="7"/>
  <c r="AB16" i="7"/>
  <c r="Z16" i="7"/>
  <c r="X16" i="7"/>
  <c r="W16" i="7"/>
  <c r="V16" i="7"/>
  <c r="AA16" i="7"/>
  <c r="AB21" i="7"/>
  <c r="Z21" i="7"/>
  <c r="X21" i="7"/>
  <c r="W21" i="7"/>
  <c r="V21" i="7"/>
  <c r="AB20" i="7"/>
  <c r="Z20" i="7"/>
  <c r="X20" i="7"/>
  <c r="W20" i="7"/>
  <c r="V20" i="7"/>
  <c r="Z10" i="7"/>
  <c r="X10" i="7"/>
  <c r="W10" i="7"/>
  <c r="V10" i="7"/>
  <c r="Z9" i="7"/>
  <c r="W9" i="7"/>
  <c r="V9" i="7"/>
  <c r="O9" i="7"/>
  <c r="X9" i="7" s="1"/>
  <c r="M9" i="7"/>
  <c r="AB10" i="7"/>
  <c r="E9" i="7"/>
  <c r="AB8" i="7"/>
  <c r="AA8" i="7"/>
  <c r="Z8" i="7"/>
  <c r="X8" i="7"/>
  <c r="W8" i="7"/>
  <c r="V8" i="7"/>
  <c r="M12" i="7"/>
  <c r="AB13" i="7"/>
  <c r="Z13" i="7"/>
  <c r="X13" i="7"/>
  <c r="W13" i="7"/>
  <c r="V13" i="7"/>
  <c r="AB12" i="7"/>
  <c r="Z12" i="7"/>
  <c r="X12" i="7"/>
  <c r="V12" i="7"/>
  <c r="W12" i="7"/>
  <c r="AB11" i="7"/>
  <c r="AA11" i="7"/>
  <c r="Z11" i="7"/>
  <c r="X11" i="7"/>
  <c r="W11" i="7"/>
  <c r="V11" i="7"/>
  <c r="Z4" i="7"/>
  <c r="X4" i="7"/>
  <c r="W4" i="7"/>
  <c r="V4" i="7"/>
  <c r="Z3" i="7"/>
  <c r="W3" i="7"/>
  <c r="V3" i="7"/>
  <c r="X3" i="7"/>
  <c r="M3" i="7"/>
  <c r="L3" i="7"/>
  <c r="AB3" i="7" s="1"/>
  <c r="E3" i="7"/>
  <c r="D3" i="7"/>
  <c r="AB2" i="7"/>
  <c r="AB1" i="7" s="1"/>
  <c r="AA2" i="7"/>
  <c r="Z2" i="7"/>
  <c r="X2" i="7"/>
  <c r="W2" i="7"/>
  <c r="V2" i="7"/>
  <c r="Z7" i="7"/>
  <c r="X7" i="7"/>
  <c r="W7" i="7"/>
  <c r="V7" i="7"/>
  <c r="Z6" i="7"/>
  <c r="V6" i="7"/>
  <c r="O6" i="7"/>
  <c r="X6" i="7" s="1"/>
  <c r="M6" i="7"/>
  <c r="L6" i="7"/>
  <c r="AB6" i="7" s="1"/>
  <c r="W6" i="7"/>
  <c r="E6" i="7"/>
  <c r="AB5" i="7"/>
  <c r="AA5" i="7"/>
  <c r="Z5" i="7"/>
  <c r="X5" i="7"/>
  <c r="W5" i="7"/>
  <c r="V5" i="7"/>
  <c r="AB45" i="7"/>
  <c r="AA45" i="7"/>
  <c r="Z45" i="7"/>
  <c r="X45" i="7"/>
  <c r="W45" i="7"/>
  <c r="V45" i="7"/>
  <c r="AB44" i="7"/>
  <c r="AA44" i="7"/>
  <c r="Z44" i="7"/>
  <c r="X44" i="7"/>
  <c r="W44" i="7"/>
  <c r="V44" i="7"/>
  <c r="AB40" i="7"/>
  <c r="Z40" i="7"/>
  <c r="X40" i="7"/>
  <c r="V40" i="7"/>
  <c r="J40" i="7"/>
  <c r="I40" i="7"/>
  <c r="AB39" i="7"/>
  <c r="AA39" i="7"/>
  <c r="Z39" i="7"/>
  <c r="X39" i="7"/>
  <c r="W39" i="7"/>
  <c r="V39" i="7"/>
  <c r="AB33" i="7"/>
  <c r="Z33" i="7"/>
  <c r="X33" i="7"/>
  <c r="V33" i="7"/>
  <c r="J33" i="7"/>
  <c r="I33" i="7"/>
  <c r="AB32" i="7"/>
  <c r="AA32" i="7"/>
  <c r="Z32" i="7"/>
  <c r="X32" i="7"/>
  <c r="W32" i="7"/>
  <c r="V32" i="7"/>
  <c r="AB19" i="7"/>
  <c r="AA19" i="7"/>
  <c r="Z19" i="7"/>
  <c r="X19" i="7"/>
  <c r="W19" i="7"/>
  <c r="V19" i="7"/>
  <c r="AB15" i="7"/>
  <c r="AA15" i="7"/>
  <c r="Z15" i="7"/>
  <c r="X15" i="7"/>
  <c r="V15" i="7"/>
  <c r="F15" i="7"/>
  <c r="AB14" i="7"/>
  <c r="AA14" i="7"/>
  <c r="Z14" i="7"/>
  <c r="X14" i="7"/>
  <c r="V14" i="7"/>
  <c r="W33" i="7" l="1"/>
  <c r="AA33" i="7" s="1"/>
  <c r="S33" i="7"/>
  <c r="AA40" i="7"/>
  <c r="S40" i="7"/>
  <c r="M13" i="7"/>
  <c r="S12" i="7"/>
  <c r="W36" i="7"/>
  <c r="AA36" i="7" s="1"/>
  <c r="S36" i="7"/>
  <c r="AA6" i="7"/>
  <c r="S6" i="7"/>
  <c r="W38" i="7"/>
  <c r="AA38" i="7" s="1"/>
  <c r="S38" i="7"/>
  <c r="M10" i="7"/>
  <c r="S9" i="7"/>
  <c r="M4" i="7"/>
  <c r="S3" i="7"/>
  <c r="AA12" i="7"/>
  <c r="AB9" i="7"/>
  <c r="AA9" i="7"/>
  <c r="M7" i="7"/>
  <c r="L4" i="7"/>
  <c r="AB4" i="7" s="1"/>
  <c r="AA3" i="7"/>
  <c r="L7" i="7"/>
  <c r="AB7" i="7" s="1"/>
  <c r="AA10" i="7" l="1"/>
  <c r="S10" i="7"/>
  <c r="AA7" i="7"/>
  <c r="S7" i="7"/>
  <c r="T44" i="7"/>
  <c r="T47" i="7"/>
  <c r="T14" i="7"/>
  <c r="T18" i="7"/>
  <c r="T26" i="7"/>
  <c r="T23" i="7"/>
  <c r="T30" i="7"/>
  <c r="T43" i="7"/>
  <c r="T31" i="7"/>
  <c r="T24" i="7"/>
  <c r="AA4" i="7"/>
  <c r="S4" i="7"/>
  <c r="T41" i="7" s="1"/>
  <c r="AA13" i="7"/>
  <c r="S13" i="7"/>
  <c r="T13" i="7" s="1"/>
  <c r="T40" i="7"/>
  <c r="T9" i="7"/>
  <c r="T33" i="7"/>
  <c r="N41" i="7"/>
  <c r="AA21" i="7"/>
  <c r="N32" i="7"/>
  <c r="T27" i="7" l="1"/>
  <c r="T39" i="7"/>
  <c r="T46" i="7"/>
  <c r="T25" i="7"/>
  <c r="T35" i="7"/>
  <c r="T29" i="7"/>
  <c r="T22" i="7"/>
  <c r="T7" i="7"/>
  <c r="T4" i="7"/>
  <c r="T21" i="7"/>
  <c r="T20" i="7"/>
  <c r="T3" i="7"/>
  <c r="T11" i="7"/>
  <c r="T8" i="7"/>
  <c r="T34" i="7"/>
  <c r="T10" i="7"/>
  <c r="T12" i="7"/>
  <c r="T16" i="7"/>
  <c r="T32" i="7"/>
  <c r="T17" i="7"/>
  <c r="T45" i="7"/>
  <c r="T38" i="7"/>
  <c r="T19" i="7"/>
  <c r="T15" i="7"/>
  <c r="T37" i="7"/>
  <c r="T28" i="7"/>
  <c r="T42" i="7"/>
  <c r="T36" i="7"/>
  <c r="T5" i="7"/>
  <c r="T2" i="7"/>
  <c r="T6" i="7"/>
  <c r="M42" i="7"/>
  <c r="M43" i="7" s="1"/>
  <c r="M34" i="7"/>
  <c r="N43" i="7" l="1"/>
  <c r="N34" i="7"/>
  <c r="M35" i="7" l="1"/>
  <c r="N37" i="7"/>
  <c r="M37" i="7"/>
  <c r="N35" i="7" l="1"/>
  <c r="N39" i="7"/>
  <c r="M39" i="7"/>
  <c r="AB2" i="11"/>
  <c r="AB1" i="11" s="1"/>
</calcChain>
</file>

<file path=xl/comments1.xml><?xml version="1.0" encoding="utf-8"?>
<comments xmlns="http://schemas.openxmlformats.org/spreadsheetml/2006/main">
  <authors>
    <author>Yujie Li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desc：作为comboBox组件，下拉输入框；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Desc:设置combox的选项；注意只取该csv文件中的第一列；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desc：表格组件；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Desc:用于设置table标题在Colum10中标题文件第几行；</t>
        </r>
      </text>
    </comment>
    <comment ref="L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Desc:设置table的默认行数</t>
        </r>
      </text>
    </comment>
    <comment ref="O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Desc:设置table内的数值存放至哪个csv文件中；</t>
        </r>
      </text>
    </comment>
    <comment ref="P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Desc:标识该table对象。</t>
        </r>
      </text>
    </comment>
    <comment ref="S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desc：radio组件；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Desc:radio中显示的字符。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1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desc：子水平布局；一般必须与Group或HboxLayout_M等一起；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desc:QHboxLayout所包含组件的起始行号；</t>
        </r>
      </text>
    </comment>
    <comment ref="N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desc:QHboxLayout所包含组件的end行号；</t>
        </r>
      </text>
    </comment>
    <comment ref="O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desc：可自动伸缩的Group组件；不能单独存在，必须包含布局组件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desc:在总体布局中的位置；布局参数，请输入0-499的整数;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desc:Group_E组件中的子布局；</t>
        </r>
      </text>
    </comment>
    <comment ref="K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desc:Group_E所包含组件的起始行号；</t>
        </r>
      </text>
    </comment>
    <comment ref="N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desc:Group_E所包含组件的end行号；</t>
        </r>
      </text>
    </comment>
    <comment ref="O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S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desc：用户自定义组件，这里用户存储界面不显示的string信息；</t>
        </r>
      </text>
    </comment>
    <comment ref="C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Desc:无意义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Desc:无意义</t>
        </r>
      </text>
    </comment>
    <comment ref="F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Desc:无意义</t>
        </r>
      </text>
    </comment>
    <comment ref="G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
Desc:无意义</t>
        </r>
      </text>
    </comment>
    <comment ref="H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Desc:标识userdefined，可理解为结构体的名称；逻辑代码经常要用到</t>
        </r>
      </text>
    </comment>
    <comment ref="K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Desc:标识该组件存储值的含义。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desc：用户自定义组件，这里用户存储界面不显示的string信息；</t>
        </r>
      </text>
    </comment>
    <comment ref="C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Desc:无意义</t>
        </r>
      </text>
    </comment>
    <comment ref="E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Desc:无意义</t>
        </r>
      </text>
    </comment>
    <comment ref="F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Desc:无意义</t>
        </r>
      </text>
    </comment>
    <comment ref="G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
Desc:无意义</t>
        </r>
      </text>
    </comment>
    <comment ref="H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Desc:标识userdefined，可理解为结构体的名称；逻辑代码经常要用到</t>
        </r>
      </text>
    </comment>
    <comment ref="J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M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Desc:标识该组件存储值的含义。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desc：作为label组件，显示图片</t>
        </r>
      </text>
    </comment>
    <comment ref="C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Desc:若要用label显示图片，该处只能设置为Picture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Desc:Label若用于图片显示，该处为图片的相对位置；</t>
        </r>
      </text>
    </comment>
    <comment ref="L1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desc：作为textedit组件，显示字符</t>
        </r>
      </text>
    </comment>
    <comment ref="C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Desc:tab中显示的字符。</t>
        </r>
      </text>
    </comment>
    <comment ref="D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desc:tab组件中的子布局；</t>
        </r>
      </text>
    </comment>
    <comment ref="K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1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L1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L2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</commentList>
</comments>
</file>

<file path=xl/comments2.xml><?xml version="1.0" encoding="utf-8"?>
<comments xmlns="http://schemas.openxmlformats.org/spreadsheetml/2006/main">
  <authors>
    <author>Yujie Li</author>
  </authors>
  <commentLis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</commentList>
</comments>
</file>

<file path=xl/comments3.xml><?xml version="1.0" encoding="utf-8"?>
<comments xmlns="http://schemas.openxmlformats.org/spreadsheetml/2006/main">
  <authors>
    <author>Yujie Li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1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1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1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1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desc：表格组件；</t>
        </r>
      </text>
    </comment>
    <comment ref="C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Desc:用于设置table标题在Colum10中标题文件第几行；</t>
        </r>
      </text>
    </comment>
    <comment ref="L2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Desc:设置table的默认行数</t>
        </r>
      </text>
    </comment>
    <comment ref="O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Desc:设置table内的数值存放至哪个csv文件中；</t>
        </r>
      </text>
    </comment>
    <comment ref="P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Desc:标识该table对象。</t>
        </r>
      </text>
    </comment>
    <comment ref="S2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desc：子水平布局；一般必须与Group或HboxLayout_M等一起；</t>
        </r>
      </text>
    </comment>
    <comment ref="C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desc:QHboxLayout所包含组件的起始行号；</t>
        </r>
      </text>
    </comment>
    <comment ref="N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desc:QHboxLayout所包含组件的end行号；</t>
        </r>
      </text>
    </comment>
    <comment ref="O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Desc:tab中显示的字符。</t>
        </r>
      </text>
    </comment>
    <comment ref="D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desc:tab组件中的子布局；</t>
        </r>
      </text>
    </comment>
    <comment ref="K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2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2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Desc:tab中显示的字符。</t>
        </r>
      </text>
    </comment>
    <comment ref="D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desc:tab组件中的子布局；</t>
        </r>
      </text>
    </comment>
    <comment ref="K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2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2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2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2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3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3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</commentList>
</comments>
</file>

<file path=xl/sharedStrings.xml><?xml version="1.0" encoding="utf-8"?>
<sst xmlns="http://schemas.openxmlformats.org/spreadsheetml/2006/main" count="1021" uniqueCount="172">
  <si>
    <t>Num</t>
  </si>
  <si>
    <t>TYPE</t>
  </si>
  <si>
    <t>Text</t>
  </si>
  <si>
    <t>Row</t>
  </si>
  <si>
    <t>Column</t>
  </si>
  <si>
    <t>H_Size</t>
  </si>
  <si>
    <t>V_Size</t>
  </si>
  <si>
    <t>Data_Type</t>
  </si>
  <si>
    <t>Flag</t>
  </si>
  <si>
    <t>Child_node</t>
  </si>
  <si>
    <t>Parent_node</t>
  </si>
  <si>
    <t>GuiTypeFlag</t>
  </si>
  <si>
    <t>SpecifyTypeNum</t>
  </si>
  <si>
    <t>Fuzhu_Para2</t>
  </si>
  <si>
    <t>Fuzhu_Para3</t>
  </si>
  <si>
    <t>Fuzhu_Para4</t>
  </si>
  <si>
    <t>Fuzhu_Para5</t>
  </si>
  <si>
    <r>
      <rPr>
        <sz val="11"/>
        <color theme="1"/>
        <rFont val="宋体"/>
        <family val="3"/>
        <charset val="134"/>
      </rPr>
      <t>V</t>
    </r>
    <r>
      <rPr>
        <sz val="11"/>
        <color theme="1"/>
        <rFont val="宋体"/>
        <family val="3"/>
        <charset val="134"/>
      </rPr>
      <t>alue</t>
    </r>
  </si>
  <si>
    <t>Qlabel</t>
  </si>
  <si>
    <t>NULL</t>
  </si>
  <si>
    <t>AlignRight</t>
  </si>
  <si>
    <t>AlignVCenter</t>
  </si>
  <si>
    <t>QLineEdit</t>
  </si>
  <si>
    <t>1RowEdit</t>
  </si>
  <si>
    <t>QPushButton</t>
  </si>
  <si>
    <t>QGridLayout</t>
  </si>
  <si>
    <t>Null</t>
  </si>
  <si>
    <t>QGroupBox</t>
  </si>
  <si>
    <t>QComboBox</t>
  </si>
  <si>
    <t>HUBMat</t>
  </si>
  <si>
    <t>QSpacerItem</t>
  </si>
  <si>
    <t>Picture</t>
  </si>
  <si>
    <t>AlignHCenter</t>
  </si>
  <si>
    <t>Sub</t>
  </si>
  <si>
    <t>QRadioButton</t>
  </si>
  <si>
    <t>QHBoxLayout</t>
  </si>
  <si>
    <t>QTableWidget</t>
  </si>
  <si>
    <t>NUll</t>
  </si>
  <si>
    <r>
      <t>ConfigurationFolder/</t>
    </r>
    <r>
      <rPr>
        <sz val="11"/>
        <color theme="1"/>
        <rFont val="宋体"/>
        <family val="3"/>
        <charset val="134"/>
        <scheme val="minor"/>
      </rPr>
      <t>TableHeader1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</si>
  <si>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r>
      <t>ConfigurationFolder/</t>
    </r>
    <r>
      <rPr>
        <sz val="11"/>
        <color theme="1"/>
        <rFont val="宋体"/>
        <family val="3"/>
        <charset val="134"/>
        <scheme val="minor"/>
      </rPr>
      <t>TableHeader2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</si>
  <si>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ULL_Value</t>
    </r>
    <phoneticPr fontId="3" type="noConversion"/>
  </si>
  <si>
    <t>GuiF</t>
    <phoneticPr fontId="3" type="noConversion"/>
  </si>
  <si>
    <t>ConfigurationFolder/OccurrenceTableData.csv</t>
    <phoneticPr fontId="3" type="noConversion"/>
  </si>
  <si>
    <t>QTableWidget</t>
    <phoneticPr fontId="3" type="noConversion"/>
  </si>
  <si>
    <t>ConfigurationFolder/ConnectionBat/Button1.bat</t>
    <phoneticPr fontId="5" type="noConversion"/>
  </si>
  <si>
    <t>UserDefined</t>
  </si>
  <si>
    <t>PathFile</t>
  </si>
  <si>
    <r>
      <rPr>
        <sz val="11"/>
        <color theme="1"/>
        <rFont val="宋体"/>
        <family val="3"/>
        <charset val="134"/>
      </rPr>
      <t>N</t>
    </r>
    <r>
      <rPr>
        <sz val="11"/>
        <color theme="1"/>
        <rFont val="宋体"/>
        <family val="3"/>
        <charset val="134"/>
      </rPr>
      <t>ull</t>
    </r>
  </si>
  <si>
    <r>
      <t>O</t>
    </r>
    <r>
      <rPr>
        <sz val="11"/>
        <color theme="1"/>
        <rFont val="宋体"/>
        <family val="3"/>
        <charset val="134"/>
        <scheme val="minor"/>
      </rPr>
      <t>utPut</t>
    </r>
    <r>
      <rPr>
        <sz val="11"/>
        <color theme="1"/>
        <rFont val="宋体"/>
        <family val="3"/>
        <charset val="134"/>
        <scheme val="minor"/>
      </rPr>
      <t>Path</t>
    </r>
    <phoneticPr fontId="3" type="noConversion"/>
  </si>
  <si>
    <t>MainPath</t>
    <phoneticPr fontId="3" type="noConversion"/>
  </si>
  <si>
    <r>
      <t>S</t>
    </r>
    <r>
      <rPr>
        <sz val="11"/>
        <color theme="1"/>
        <rFont val="宋体"/>
        <family val="3"/>
        <charset val="134"/>
        <scheme val="minor"/>
      </rPr>
      <t>elect *.rst file</t>
    </r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</si>
  <si>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codePara</t>
    </r>
    <phoneticPr fontId="2" type="noConversion"/>
  </si>
  <si>
    <r>
      <t>S</t>
    </r>
    <r>
      <rPr>
        <sz val="11"/>
        <color theme="1"/>
        <rFont val="宋体"/>
        <family val="3"/>
        <charset val="134"/>
        <scheme val="minor"/>
      </rPr>
      <t>elect Material:</t>
    </r>
    <phoneticPr fontId="2" type="noConversion"/>
  </si>
  <si>
    <t>ConfigurationFolder/NcodeMatData.csv</t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</si>
  <si>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code</t>
    </r>
    <r>
      <rPr>
        <sz val="11"/>
        <color theme="1"/>
        <rFont val="宋体"/>
        <family val="3"/>
        <charset val="134"/>
        <scheme val="minor"/>
      </rPr>
      <t>MatNum</t>
    </r>
    <phoneticPr fontId="2" type="noConversion"/>
  </si>
  <si>
    <t>Select timeseries *.txt file</t>
    <phoneticPr fontId="2" type="noConversion"/>
  </si>
  <si>
    <t>FEA reasult and timeseries input</t>
    <phoneticPr fontId="3" type="noConversion"/>
  </si>
  <si>
    <t>Material input</t>
    <phoneticPr fontId="3" type="noConversion"/>
  </si>
  <si>
    <t>Occurrence Edit</t>
    <phoneticPr fontId="3" type="noConversion"/>
  </si>
  <si>
    <t>Channel Edit</t>
    <phoneticPr fontId="3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</si>
  <si>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</si>
  <si>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t>OccurrenceTableData</t>
  </si>
  <si>
    <t>ChannelTableData</t>
  </si>
  <si>
    <t>ChannelGroupCheck</t>
  </si>
  <si>
    <t xml:space="preserve"> Select </t>
    <phoneticPr fontId="2" type="noConversion"/>
  </si>
  <si>
    <r>
      <t>QHBoxLayout</t>
    </r>
    <r>
      <rPr>
        <sz val="11"/>
        <color theme="1"/>
        <rFont val="宋体"/>
        <family val="3"/>
        <charset val="134"/>
        <scheme val="minor"/>
      </rPr>
      <t>_M</t>
    </r>
    <phoneticPr fontId="2" type="noConversion"/>
  </si>
  <si>
    <t>ConfigurationFolder\images\open_old.png</t>
    <phoneticPr fontId="2" type="noConversion"/>
  </si>
  <si>
    <r>
      <t>ConfigurationFolder\images\</t>
    </r>
    <r>
      <rPr>
        <sz val="11"/>
        <color theme="1"/>
        <rFont val="宋体"/>
        <family val="3"/>
        <charset val="134"/>
        <scheme val="minor"/>
      </rPr>
      <t>open_old.png</t>
    </r>
    <phoneticPr fontId="2" type="noConversion"/>
  </si>
  <si>
    <t xml:space="preserve">Ncode calculate </t>
    <phoneticPr fontId="3" type="noConversion"/>
  </si>
  <si>
    <t>ConfigurationFolder\images\text_file.png</t>
    <phoneticPr fontId="2" type="noConversion"/>
  </si>
  <si>
    <t>ConfigurationFolder\images\Calculate.png</t>
    <phoneticPr fontId="2" type="noConversion"/>
  </si>
  <si>
    <t>ConfigurationFolder\images\export.png</t>
    <phoneticPr fontId="2" type="noConversion"/>
  </si>
  <si>
    <t xml:space="preserve">Output dcy File </t>
    <phoneticPr fontId="3" type="noConversion"/>
  </si>
  <si>
    <t xml:space="preserve">Open Ncode reasults </t>
    <phoneticPr fontId="3" type="noConversion"/>
  </si>
  <si>
    <r>
      <t>ConfigurationFolder/ChannelTableData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</si>
  <si>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t>Help</t>
    <phoneticPr fontId="3" type="noConversion"/>
  </si>
  <si>
    <t>ConfigurationFolder\images\help.png</t>
    <phoneticPr fontId="2" type="noConversion"/>
  </si>
  <si>
    <t>Run1 Gate:</t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</si>
  <si>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</si>
  <si>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r>
      <t>QGroupBox</t>
    </r>
    <r>
      <rPr>
        <sz val="11"/>
        <color theme="1"/>
        <rFont val="宋体"/>
        <family val="3"/>
        <charset val="134"/>
        <scheme val="minor"/>
      </rPr>
      <t>_E</t>
    </r>
    <phoneticPr fontId="2" type="noConversion"/>
  </si>
  <si>
    <t>Advanced Setting</t>
    <phoneticPr fontId="3" type="noConversion"/>
  </si>
  <si>
    <r>
      <t>A</t>
    </r>
    <r>
      <rPr>
        <sz val="11"/>
        <color theme="1"/>
        <rFont val="宋体"/>
        <family val="3"/>
        <charset val="134"/>
        <scheme val="minor"/>
      </rPr>
      <t>dvancedSetting</t>
    </r>
    <phoneticPr fontId="2" type="noConversion"/>
  </si>
  <si>
    <t>NULL</t>
    <phoneticPr fontId="2" type="noConversion"/>
  </si>
  <si>
    <t xml:space="preserve">Transfer *.txt to *.s3t File </t>
    <phoneticPr fontId="3" type="noConversion"/>
  </si>
  <si>
    <r>
      <t>ConfigurationFolder/ConnectionBat/Button</t>
    </r>
    <r>
      <rPr>
        <sz val="11"/>
        <color theme="1"/>
        <rFont val="宋体"/>
        <family val="3"/>
        <charset val="134"/>
        <scheme val="minor"/>
      </rPr>
      <t>Trans</t>
    </r>
    <r>
      <rPr>
        <sz val="11"/>
        <color theme="1"/>
        <rFont val="宋体"/>
        <family val="3"/>
        <charset val="134"/>
        <scheme val="minor"/>
      </rPr>
      <t>.bat</t>
    </r>
    <phoneticPr fontId="5" type="noConversion"/>
  </si>
  <si>
    <t>ConfigurationFolder/ConnectionBat/ButtonCal.bat</t>
    <phoneticPr fontId="5" type="noConversion"/>
  </si>
  <si>
    <t>ConfigurationFolder/ConnectionBat/ButtonOpen.bat</t>
    <phoneticPr fontId="5" type="noConversion"/>
  </si>
  <si>
    <t>ConfigurationFolder\images\Trans.png</t>
    <phoneticPr fontId="2" type="noConversion"/>
  </si>
  <si>
    <t>AlignLeft</t>
  </si>
  <si>
    <t>AlignTop</t>
  </si>
  <si>
    <t>AlignBaseline</t>
  </si>
  <si>
    <t>AlignBottom</t>
  </si>
  <si>
    <t>AlignJustify</t>
  </si>
  <si>
    <t>Run1 PercentToKeep:</t>
    <phoneticPr fontId="2" type="noConversion"/>
  </si>
  <si>
    <t>Run2 Gate:</t>
    <phoneticPr fontId="2" type="noConversion"/>
  </si>
  <si>
    <t>ConfigurationFolder/ConnectionBat/ButtonOtherSet.bat</t>
    <phoneticPr fontId="5" type="noConversion"/>
  </si>
  <si>
    <t>ConfigurationFolder\images\OtherSet.png</t>
    <phoneticPr fontId="2" type="noConversion"/>
  </si>
  <si>
    <t>Select Ncode directory</t>
    <phoneticPr fontId="2" type="noConversion"/>
  </si>
  <si>
    <t>Modify Template</t>
    <phoneticPr fontId="3" type="noConversion"/>
  </si>
  <si>
    <t>QGridLayout</t>
    <phoneticPr fontId="2" type="noConversion"/>
  </si>
  <si>
    <t>QGridLayout_M</t>
  </si>
  <si>
    <r>
      <t>B</t>
    </r>
    <r>
      <rPr>
        <sz val="11"/>
        <color theme="1"/>
        <rFont val="宋体"/>
        <family val="3"/>
        <charset val="134"/>
        <scheme val="minor"/>
      </rPr>
      <t>uttonstatus</t>
    </r>
    <phoneticPr fontId="2" type="noConversion"/>
  </si>
  <si>
    <t>NcodeCalculateStatus</t>
    <phoneticPr fontId="3" type="noConversion"/>
  </si>
  <si>
    <t>QGroupBox_E</t>
  </si>
  <si>
    <r>
      <t>Q</t>
    </r>
    <r>
      <rPr>
        <sz val="11"/>
        <color theme="1"/>
        <rFont val="宋体"/>
        <family val="3"/>
        <charset val="134"/>
        <scheme val="minor"/>
      </rPr>
      <t>label</t>
    </r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</si>
  <si>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</si>
  <si>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t>default string</t>
    <phoneticPr fontId="2" type="noConversion"/>
  </si>
  <si>
    <t>select</t>
    <phoneticPr fontId="2" type="noConversion"/>
  </si>
  <si>
    <r>
      <t>P</t>
    </r>
    <r>
      <rPr>
        <sz val="11"/>
        <color theme="1"/>
        <rFont val="宋体"/>
        <family val="3"/>
        <charset val="134"/>
        <scheme val="minor"/>
      </rPr>
      <t>S：</t>
    </r>
    <phoneticPr fontId="2" type="noConversion"/>
  </si>
  <si>
    <t>该页作为组件的模板；其中红色列是对应组件经常需要修改的；</t>
    <phoneticPr fontId="2" type="noConversion"/>
  </si>
  <si>
    <r>
      <t>ConfigurationFolder/ConnectionBat/Button</t>
    </r>
    <r>
      <rPr>
        <sz val="11"/>
        <color theme="1"/>
        <rFont val="宋体"/>
        <family val="3"/>
        <charset val="134"/>
        <scheme val="minor"/>
      </rPr>
      <t>Trans</t>
    </r>
    <r>
      <rPr>
        <sz val="11"/>
        <color theme="1"/>
        <rFont val="宋体"/>
        <family val="3"/>
        <charset val="134"/>
        <scheme val="minor"/>
      </rPr>
      <t>.bat</t>
    </r>
    <phoneticPr fontId="2" type="noConversion"/>
  </si>
  <si>
    <t>NcodeMatData.csv</t>
  </si>
  <si>
    <t>ConfigurationFolder/TableHeader1.csv</t>
    <phoneticPr fontId="2" type="noConversion"/>
  </si>
  <si>
    <t>TableHeader1.csv</t>
  </si>
  <si>
    <t>ConfigurationFolder/OccurrenceTableData.csv</t>
    <phoneticPr fontId="2" type="noConversion"/>
  </si>
  <si>
    <t>OccurrenceTableData</t>
    <phoneticPr fontId="2" type="noConversion"/>
  </si>
  <si>
    <t>Sub</t>
    <phoneticPr fontId="2" type="noConversion"/>
  </si>
  <si>
    <t>ChannelGroupCheck</t>
    <phoneticPr fontId="2" type="noConversion"/>
  </si>
  <si>
    <t>Unit For Load:(N、N·mm)</t>
    <phoneticPr fontId="2" type="noConversion"/>
  </si>
  <si>
    <t xml:space="preserve"> </t>
    <phoneticPr fontId="2" type="noConversion"/>
  </si>
  <si>
    <t>check</t>
    <phoneticPr fontId="2" type="noConversion"/>
  </si>
  <si>
    <r>
      <t>f</t>
    </r>
    <r>
      <rPr>
        <sz val="11"/>
        <color theme="1"/>
        <rFont val="宋体"/>
        <family val="3"/>
        <charset val="134"/>
        <scheme val="minor"/>
      </rPr>
      <t>algcheck</t>
    </r>
    <phoneticPr fontId="2" type="noConversion"/>
  </si>
  <si>
    <r>
      <t>ConfigurationFolder\images\</t>
    </r>
    <r>
      <rPr>
        <sz val="11"/>
        <color theme="1"/>
        <rFont val="宋体"/>
        <family val="3"/>
        <charset val="134"/>
        <scheme val="minor"/>
      </rPr>
      <t>HubFEA.png</t>
    </r>
    <phoneticPr fontId="2" type="noConversion"/>
  </si>
  <si>
    <t>MainPath</t>
    <phoneticPr fontId="2" type="noConversion"/>
  </si>
  <si>
    <t>HUBMat</t>
    <phoneticPr fontId="2" type="noConversion"/>
  </si>
  <si>
    <t>Unit N</t>
    <phoneticPr fontId="2" type="noConversion"/>
  </si>
  <si>
    <t>OutPutPath</t>
    <phoneticPr fontId="2" type="noConversion"/>
  </si>
  <si>
    <t>AdvancedSetting</t>
    <phoneticPr fontId="2" type="noConversion"/>
  </si>
  <si>
    <t>QHBoxLayout</t>
    <phoneticPr fontId="2" type="noConversion"/>
  </si>
  <si>
    <r>
      <t>C</t>
    </r>
    <r>
      <rPr>
        <sz val="11"/>
        <color theme="1"/>
        <rFont val="宋体"/>
        <family val="3"/>
        <charset val="134"/>
        <scheme val="minor"/>
      </rPr>
      <t>olor</t>
    </r>
    <phoneticPr fontId="2" type="noConversion"/>
  </si>
  <si>
    <t>QHBoxLayout_M</t>
    <phoneticPr fontId="2" type="noConversion"/>
  </si>
  <si>
    <t>QTableWidget</t>
    <phoneticPr fontId="2" type="noConversion"/>
  </si>
  <si>
    <t>GuiStudyPro</t>
    <phoneticPr fontId="2" type="noConversion"/>
  </si>
  <si>
    <t>QTextEdit</t>
  </si>
  <si>
    <t>QTextEdit</t>
    <phoneticPr fontId="2" type="noConversion"/>
  </si>
  <si>
    <t>StudyCode</t>
    <phoneticPr fontId="2" type="noConversion"/>
  </si>
  <si>
    <t>Save</t>
    <phoneticPr fontId="2" type="noConversion"/>
  </si>
  <si>
    <t>Edit</t>
    <phoneticPr fontId="2" type="noConversion"/>
  </si>
  <si>
    <r>
      <t>Complete</t>
    </r>
    <r>
      <rPr>
        <sz val="11"/>
        <color theme="1"/>
        <rFont val="宋体"/>
        <family val="3"/>
        <charset val="134"/>
        <scheme val="minor"/>
      </rPr>
      <t xml:space="preserve"> Edit</t>
    </r>
    <phoneticPr fontId="2" type="noConversion"/>
  </si>
  <si>
    <r>
      <t>Add</t>
    </r>
    <r>
      <rPr>
        <sz val="11"/>
        <color theme="1"/>
        <rFont val="宋体"/>
        <family val="3"/>
        <charset val="134"/>
        <scheme val="minor"/>
      </rPr>
      <t xml:space="preserve"> attachment</t>
    </r>
    <phoneticPr fontId="2" type="noConversion"/>
  </si>
  <si>
    <t>ConfigurationFolder/GUIData/TestOutputHeader.csv</t>
    <phoneticPr fontId="2" type="noConversion"/>
  </si>
  <si>
    <t>ConfigurationFolder/GUIData/TestOutputTableData.csv</t>
    <phoneticPr fontId="2" type="noConversion"/>
  </si>
  <si>
    <t>OutputTableData</t>
    <phoneticPr fontId="2" type="noConversion"/>
  </si>
  <si>
    <t>OutputGroup</t>
    <phoneticPr fontId="2" type="noConversion"/>
  </si>
  <si>
    <r>
      <t>Open</t>
    </r>
    <r>
      <rPr>
        <sz val="11"/>
        <color theme="1"/>
        <rFont val="宋体"/>
        <family val="3"/>
        <charset val="134"/>
        <scheme val="minor"/>
      </rPr>
      <t xml:space="preserve"> file</t>
    </r>
    <phoneticPr fontId="2" type="noConversion"/>
  </si>
  <si>
    <t>Output</t>
    <phoneticPr fontId="3" type="noConversion"/>
  </si>
  <si>
    <t>QVBoxLayout</t>
    <phoneticPr fontId="2" type="noConversion"/>
  </si>
  <si>
    <t>QVBoxLayout_M</t>
    <phoneticPr fontId="2" type="noConversion"/>
  </si>
  <si>
    <t>StudyCode</t>
    <phoneticPr fontId="2" type="noConversion"/>
  </si>
  <si>
    <t>Origin code</t>
    <phoneticPr fontId="2" type="noConversion"/>
  </si>
  <si>
    <t>Code file</t>
    <phoneticPr fontId="2" type="noConversion"/>
  </si>
  <si>
    <t>ConfigurationFolder/GUIData/CodeText.csv</t>
    <phoneticPr fontId="2" type="noConversion"/>
  </si>
  <si>
    <t>QTextEdit</t>
    <phoneticPr fontId="2" type="noConversion"/>
  </si>
  <si>
    <t>QTabWidget</t>
    <phoneticPr fontId="2" type="noConversion"/>
  </si>
  <si>
    <t>QTabWidget</t>
  </si>
  <si>
    <t>tab1</t>
    <phoneticPr fontId="3" type="noConversion"/>
  </si>
  <si>
    <t>ConfigurationFolder\images\open_old.png</t>
    <phoneticPr fontId="2" type="noConversion"/>
  </si>
  <si>
    <t>TabCheck</t>
    <phoneticPr fontId="2" type="noConversion"/>
  </si>
  <si>
    <t>Clear</t>
    <phoneticPr fontId="2" type="noConversion"/>
  </si>
  <si>
    <t>ConfigurationFolder/images/blue_open.png</t>
  </si>
  <si>
    <t>ConfigurationFolder/images/blue_save.png</t>
  </si>
  <si>
    <t>ConfigurationFolder/images/blue_edit.png</t>
  </si>
  <si>
    <t>ConfigurationFolder/images/blue_yes.png</t>
  </si>
  <si>
    <t>ConfigurationFolder/images/blue_no.png</t>
  </si>
  <si>
    <t>ConfigurationFolder/images/blue_atta.png</t>
  </si>
  <si>
    <t>ConfigurationFolder/images/blue_ser.png</t>
  </si>
  <si>
    <t>search</t>
    <phoneticPr fontId="2" type="noConversion"/>
  </si>
  <si>
    <t>tab2</t>
    <phoneticPr fontId="3" type="noConversion"/>
  </si>
  <si>
    <t>tab1_testButton1</t>
    <phoneticPr fontId="2" type="noConversion"/>
  </si>
  <si>
    <t>tab1_testButton2</t>
    <phoneticPr fontId="2" type="noConversion"/>
  </si>
  <si>
    <t>tab2_testButton1</t>
    <phoneticPr fontId="2" type="noConversion"/>
  </si>
  <si>
    <t>tab2_testButton2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</si>
</sst>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ajor"/>
    </font>
    <font>
      <sz val="11"/>
      <color rgb="FFFF0000"/>
      <name val="微软雅黑"/>
      <family val="2"/>
      <charset val="134"/>
    </font>
    <font>
      <b/>
      <sz val="14"/>
      <color rgb="FFFF0000"/>
      <name val="黑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6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4" fillId="0" borderId="0" xfId="0" applyFont="1">
      <alignment vertical="center"/>
    </xf>
    <xf numFmtId="0" fontId="4" fillId="3" borderId="0" xfId="0" applyFont="1" applyFill="1" applyAlignment="1">
      <alignment vertical="center"/>
    </xf>
    <xf numFmtId="0" fontId="4" fillId="0" borderId="0" xfId="0" applyFont="1" applyFill="1">
      <alignment vertical="center"/>
    </xf>
    <xf numFmtId="0" fontId="0" fillId="5" borderId="0" xfId="0" applyFill="1" applyAlignment="1">
      <alignment vertical="center"/>
    </xf>
    <xf numFmtId="0" fontId="4" fillId="2" borderId="0" xfId="0" applyFont="1" applyFill="1" applyAlignment="1">
      <alignment vertical="center"/>
    </xf>
    <xf numFmtId="0" fontId="1" fillId="0" borderId="0" xfId="0" applyFont="1">
      <alignment vertical="center"/>
    </xf>
    <xf numFmtId="0" fontId="0" fillId="0" borderId="0" xfId="0" applyFill="1" applyBorder="1" applyAlignment="1">
      <alignment vertical="center"/>
    </xf>
    <xf numFmtId="0" fontId="0" fillId="6" borderId="0" xfId="0" applyFill="1">
      <alignment vertical="center"/>
    </xf>
    <xf numFmtId="0" fontId="4" fillId="6" borderId="0" xfId="0" applyFont="1" applyFill="1">
      <alignment vertical="center"/>
    </xf>
    <xf numFmtId="0" fontId="0" fillId="6" borderId="0" xfId="0" applyFill="1" applyAlignment="1">
      <alignment vertical="center"/>
    </xf>
    <xf numFmtId="0" fontId="9" fillId="4" borderId="0" xfId="0" applyFont="1" applyFill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9" fillId="6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9" fillId="7" borderId="1" xfId="0" applyFont="1" applyFill="1" applyBorder="1" applyAlignment="1">
      <alignment horizontal="left" vertical="center"/>
    </xf>
    <xf numFmtId="0" fontId="8" fillId="7" borderId="0" xfId="0" applyFont="1" applyFill="1" applyAlignment="1">
      <alignment vertical="center"/>
    </xf>
    <xf numFmtId="0" fontId="4" fillId="7" borderId="1" xfId="0" applyFon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7" borderId="0" xfId="0" applyFill="1">
      <alignment vertical="center"/>
    </xf>
    <xf numFmtId="0" fontId="4" fillId="7" borderId="0" xfId="0" applyFont="1" applyFill="1">
      <alignment vertical="center"/>
    </xf>
    <xf numFmtId="0" fontId="0" fillId="7" borderId="1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4" fillId="10" borderId="1" xfId="0" applyFont="1" applyFill="1" applyBorder="1" applyAlignment="1">
      <alignment horizontal="left" vertical="center"/>
    </xf>
    <xf numFmtId="0" fontId="0" fillId="10" borderId="1" xfId="0" applyFill="1" applyBorder="1" applyAlignment="1">
      <alignment horizontal="left" vertical="center"/>
    </xf>
    <xf numFmtId="0" fontId="9" fillId="10" borderId="1" xfId="0" applyFont="1" applyFill="1" applyBorder="1" applyAlignment="1">
      <alignment horizontal="left"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6" borderId="2" xfId="0" applyFill="1" applyBorder="1" applyAlignment="1">
      <alignment horizontal="left" vertical="center"/>
    </xf>
    <xf numFmtId="0" fontId="0" fillId="6" borderId="2" xfId="0" applyFont="1" applyFill="1" applyBorder="1" applyAlignment="1">
      <alignment horizontal="left" vertical="center"/>
    </xf>
    <xf numFmtId="0" fontId="0" fillId="6" borderId="0" xfId="0" applyFont="1" applyFill="1" applyBorder="1" applyAlignment="1">
      <alignment horizontal="left" vertical="center"/>
    </xf>
    <xf numFmtId="0" fontId="0" fillId="6" borderId="0" xfId="0" applyFont="1" applyFill="1">
      <alignment vertical="center"/>
    </xf>
    <xf numFmtId="0" fontId="8" fillId="6" borderId="0" xfId="0" applyFont="1" applyFill="1" applyAlignment="1">
      <alignment vertical="center"/>
    </xf>
    <xf numFmtId="0" fontId="8" fillId="6" borderId="0" xfId="0" applyFont="1" applyFill="1">
      <alignment vertical="center"/>
    </xf>
    <xf numFmtId="0" fontId="4" fillId="10" borderId="0" xfId="0" applyFont="1" applyFill="1">
      <alignment vertical="center"/>
    </xf>
    <xf numFmtId="0" fontId="4" fillId="11" borderId="0" xfId="0" applyFont="1" applyFill="1">
      <alignment vertical="center"/>
    </xf>
    <xf numFmtId="0" fontId="0" fillId="12" borderId="0" xfId="0" applyFill="1" applyAlignment="1">
      <alignment vertical="center"/>
    </xf>
    <xf numFmtId="0" fontId="4" fillId="12" borderId="0" xfId="0" applyFont="1" applyFill="1">
      <alignment vertical="center"/>
    </xf>
    <xf numFmtId="0" fontId="0" fillId="12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4" fillId="8" borderId="0" xfId="0" applyFont="1" applyFill="1">
      <alignment vertical="center"/>
    </xf>
    <xf numFmtId="0" fontId="0" fillId="8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8" fillId="8" borderId="1" xfId="0" applyFont="1" applyFill="1" applyBorder="1" applyAlignment="1">
      <alignment horizontal="left" vertical="center"/>
    </xf>
    <xf numFmtId="0" fontId="9" fillId="8" borderId="1" xfId="0" applyFont="1" applyFill="1" applyBorder="1" applyAlignment="1">
      <alignment horizontal="left" vertical="center"/>
    </xf>
    <xf numFmtId="0" fontId="8" fillId="8" borderId="0" xfId="0" applyFont="1" applyFill="1" applyAlignment="1">
      <alignment vertical="center"/>
    </xf>
    <xf numFmtId="0" fontId="4" fillId="8" borderId="1" xfId="0" applyFont="1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0" fontId="4" fillId="8" borderId="0" xfId="0" applyFont="1" applyFill="1" applyAlignment="1">
      <alignment vertical="center"/>
    </xf>
    <xf numFmtId="0" fontId="0" fillId="11" borderId="0" xfId="0" applyFont="1" applyFill="1" applyAlignment="1">
      <alignment vertical="center"/>
    </xf>
    <xf numFmtId="0" fontId="4" fillId="9" borderId="1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0" fontId="9" fillId="9" borderId="1" xfId="0" applyFont="1" applyFill="1" applyBorder="1" applyAlignment="1">
      <alignment horizontal="left" vertical="center"/>
    </xf>
    <xf numFmtId="0" fontId="0" fillId="9" borderId="0" xfId="0" applyFill="1" applyAlignment="1">
      <alignment vertical="center"/>
    </xf>
    <xf numFmtId="0" fontId="4" fillId="9" borderId="0" xfId="0" applyFont="1" applyFill="1">
      <alignment vertical="center"/>
    </xf>
    <xf numFmtId="0" fontId="4" fillId="9" borderId="0" xfId="0" applyFont="1" applyFill="1" applyAlignment="1">
      <alignment vertical="center"/>
    </xf>
    <xf numFmtId="0" fontId="0" fillId="9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0" fillId="0" borderId="0" xfId="0" applyFill="1">
      <alignment vertical="center"/>
    </xf>
    <xf numFmtId="0" fontId="8" fillId="0" borderId="0" xfId="0" applyFont="1" applyFill="1">
      <alignment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0" fontId="9" fillId="11" borderId="1" xfId="0" applyFont="1" applyFill="1" applyBorder="1" applyAlignment="1">
      <alignment horizontal="left" vertical="center"/>
    </xf>
    <xf numFmtId="0" fontId="4" fillId="12" borderId="1" xfId="0" applyFont="1" applyFill="1" applyBorder="1" applyAlignment="1">
      <alignment horizontal="left" vertical="center"/>
    </xf>
    <xf numFmtId="0" fontId="0" fillId="12" borderId="1" xfId="0" applyFill="1" applyBorder="1" applyAlignment="1">
      <alignment horizontal="left" vertical="center"/>
    </xf>
    <xf numFmtId="0" fontId="9" fillId="12" borderId="1" xfId="0" applyFont="1" applyFill="1" applyBorder="1" applyAlignment="1">
      <alignment horizontal="left" vertical="center"/>
    </xf>
    <xf numFmtId="0" fontId="8" fillId="12" borderId="1" xfId="0" applyFont="1" applyFill="1" applyBorder="1" applyAlignment="1">
      <alignment horizontal="left" vertical="center"/>
    </xf>
    <xf numFmtId="0" fontId="8" fillId="12" borderId="0" xfId="0" applyFont="1" applyFill="1" applyAlignment="1">
      <alignment vertical="center"/>
    </xf>
    <xf numFmtId="0" fontId="8" fillId="9" borderId="1" xfId="0" applyFont="1" applyFill="1" applyBorder="1" applyAlignment="1">
      <alignment horizontal="left" vertical="center"/>
    </xf>
  </cellXfs>
  <cellStyles count="1">
    <cellStyle name="常规" xfId="0" builtinId="0"/>
  </cellStyles>
  <dxfs count="72"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FF"/>
      <color rgb="FF66FFFF"/>
      <color rgb="FFFFFFCC"/>
      <color rgb="FFCCECFF"/>
      <color rgb="FF96FF99"/>
      <color rgb="FF99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26</xdr:row>
      <xdr:rowOff>99391</xdr:rowOff>
    </xdr:from>
    <xdr:to>
      <xdr:col>8</xdr:col>
      <xdr:colOff>359040</xdr:colOff>
      <xdr:row>29</xdr:row>
      <xdr:rowOff>63301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44717" y="4331804"/>
          <a:ext cx="3390476" cy="485714"/>
        </a:xfrm>
        <a:prstGeom prst="rect">
          <a:avLst/>
        </a:prstGeom>
      </xdr:spPr>
    </xdr:pic>
    <xdr:clientData/>
  </xdr:twoCellAnchor>
  <xdr:twoCellAnchor>
    <xdr:from>
      <xdr:col>6</xdr:col>
      <xdr:colOff>41415</xdr:colOff>
      <xdr:row>4</xdr:row>
      <xdr:rowOff>165653</xdr:rowOff>
    </xdr:from>
    <xdr:to>
      <xdr:col>10</xdr:col>
      <xdr:colOff>82826</xdr:colOff>
      <xdr:row>26</xdr:row>
      <xdr:rowOff>107675</xdr:rowOff>
    </xdr:to>
    <xdr:cxnSp macro="">
      <xdr:nvCxnSpPr>
        <xdr:cNvPr id="4" name="直接箭头连接符 3"/>
        <xdr:cNvCxnSpPr/>
      </xdr:nvCxnSpPr>
      <xdr:spPr>
        <a:xfrm flipH="1">
          <a:off x="6361045" y="960783"/>
          <a:ext cx="4033629" cy="337930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198782</xdr:colOff>
      <xdr:row>6</xdr:row>
      <xdr:rowOff>198783</xdr:rowOff>
    </xdr:from>
    <xdr:to>
      <xdr:col>10</xdr:col>
      <xdr:colOff>1880153</xdr:colOff>
      <xdr:row>25</xdr:row>
      <xdr:rowOff>33131</xdr:rowOff>
    </xdr:to>
    <xdr:cxnSp macro="">
      <xdr:nvCxnSpPr>
        <xdr:cNvPr id="6" name="直接箭头连接符 5"/>
        <xdr:cNvCxnSpPr/>
      </xdr:nvCxnSpPr>
      <xdr:spPr>
        <a:xfrm flipH="1">
          <a:off x="10510630" y="1408044"/>
          <a:ext cx="1681371" cy="268356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91109</xdr:colOff>
      <xdr:row>26</xdr:row>
      <xdr:rowOff>107674</xdr:rowOff>
    </xdr:from>
    <xdr:to>
      <xdr:col>10</xdr:col>
      <xdr:colOff>2278554</xdr:colOff>
      <xdr:row>31</xdr:row>
      <xdr:rowOff>57048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42783" y="4340087"/>
          <a:ext cx="3247619" cy="819048"/>
        </a:xfrm>
        <a:prstGeom prst="rect">
          <a:avLst/>
        </a:prstGeom>
      </xdr:spPr>
    </xdr:pic>
    <xdr:clientData/>
  </xdr:twoCellAnchor>
  <xdr:twoCellAnchor>
    <xdr:from>
      <xdr:col>9</xdr:col>
      <xdr:colOff>935938</xdr:colOff>
      <xdr:row>6</xdr:row>
      <xdr:rowOff>149087</xdr:rowOff>
    </xdr:from>
    <xdr:to>
      <xdr:col>10</xdr:col>
      <xdr:colOff>207065</xdr:colOff>
      <xdr:row>25</xdr:row>
      <xdr:rowOff>41413</xdr:rowOff>
    </xdr:to>
    <xdr:cxnSp macro="">
      <xdr:nvCxnSpPr>
        <xdr:cNvPr id="9" name="直接箭头连接符 8"/>
        <xdr:cNvCxnSpPr/>
      </xdr:nvCxnSpPr>
      <xdr:spPr>
        <a:xfrm>
          <a:off x="10187612" y="1358348"/>
          <a:ext cx="331301" cy="277467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38100</xdr:rowOff>
        </xdr:from>
        <xdr:to>
          <xdr:col>10</xdr:col>
          <xdr:colOff>1285875</xdr:colOff>
          <xdr:row>0</xdr:row>
          <xdr:rowOff>333375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1609725</xdr:colOff>
          <xdr:row>0</xdr:row>
          <xdr:rowOff>19050</xdr:rowOff>
        </xdr:from>
        <xdr:to>
          <xdr:col>11</xdr:col>
          <xdr:colOff>19050</xdr:colOff>
          <xdr:row>0</xdr:row>
          <xdr:rowOff>314325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918882</xdr:colOff>
      <xdr:row>48</xdr:row>
      <xdr:rowOff>22412</xdr:rowOff>
    </xdr:from>
    <xdr:to>
      <xdr:col>8</xdr:col>
      <xdr:colOff>1498715</xdr:colOff>
      <xdr:row>82</xdr:row>
      <xdr:rowOff>21698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2441" y="8090647"/>
          <a:ext cx="9533333" cy="57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38100</xdr:rowOff>
        </xdr:from>
        <xdr:to>
          <xdr:col>10</xdr:col>
          <xdr:colOff>1285875</xdr:colOff>
          <xdr:row>0</xdr:row>
          <xdr:rowOff>333375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1609725</xdr:colOff>
          <xdr:row>0</xdr:row>
          <xdr:rowOff>19050</xdr:rowOff>
        </xdr:from>
        <xdr:to>
          <xdr:col>11</xdr:col>
          <xdr:colOff>19050</xdr:colOff>
          <xdr:row>0</xdr:row>
          <xdr:rowOff>314325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76200</xdr:rowOff>
        </xdr:from>
        <xdr:to>
          <xdr:col>10</xdr:col>
          <xdr:colOff>1343025</xdr:colOff>
          <xdr:row>0</xdr:row>
          <xdr:rowOff>371475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1524000</xdr:colOff>
          <xdr:row>0</xdr:row>
          <xdr:rowOff>66675</xdr:rowOff>
        </xdr:from>
        <xdr:to>
          <xdr:col>10</xdr:col>
          <xdr:colOff>3152775</xdr:colOff>
          <xdr:row>0</xdr:row>
          <xdr:rowOff>361950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4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18" sqref="A18:XFD18"/>
    </sheetView>
  </sheetViews>
  <sheetFormatPr defaultRowHeight="13.5" x14ac:dyDescent="0.15"/>
  <cols>
    <col min="1" max="1" width="4.25" customWidth="1"/>
    <col min="2" max="2" width="15" bestFit="1" customWidth="1"/>
    <col min="3" max="3" width="16.375" customWidth="1"/>
    <col min="8" max="8" width="12.75" bestFit="1" customWidth="1"/>
    <col min="9" max="9" width="16.75" customWidth="1"/>
    <col min="10" max="10" width="13.875" bestFit="1" customWidth="1"/>
    <col min="11" max="11" width="40.125" customWidth="1"/>
    <col min="12" max="12" width="8.125" customWidth="1"/>
    <col min="13" max="13" width="16.125" bestFit="1" customWidth="1"/>
    <col min="15" max="15" width="13" customWidth="1"/>
    <col min="16" max="16" width="12.75" bestFit="1" customWidth="1"/>
    <col min="17" max="17" width="21.625" bestFit="1" customWidth="1"/>
    <col min="19" max="19" width="16.125" bestFit="1" customWidth="1"/>
    <col min="20" max="20" width="10.125" customWidth="1"/>
    <col min="21" max="21" width="12.12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6" si="0">H1</f>
        <v>Data_Type</v>
      </c>
      <c r="W1" s="11" t="str">
        <f t="shared" si="0"/>
        <v>Flag</v>
      </c>
      <c r="X1" s="11" t="str">
        <f t="shared" ref="X1:X16" si="1">O1</f>
        <v>Fuzhu_Para3</v>
      </c>
      <c r="Y1" s="39" t="s">
        <v>17</v>
      </c>
      <c r="Z1" s="11" t="str">
        <f t="shared" ref="Z1:Z16" si="2">B1</f>
        <v>TYPE</v>
      </c>
      <c r="AA1" s="11" t="str">
        <f t="shared" ref="AA1:AA8" si="3">M:M</f>
        <v>SpecifyTypeNum</v>
      </c>
      <c r="AB1" s="11" t="str">
        <f>AB2</f>
        <v>GuiF</v>
      </c>
    </row>
    <row r="2" spans="1:28" s="40" customFormat="1" ht="16.5" x14ac:dyDescent="0.15">
      <c r="A2" s="51">
        <f t="shared" ref="A2:A19" si="4">ROW()-1</f>
        <v>1</v>
      </c>
      <c r="B2" s="51" t="s">
        <v>18</v>
      </c>
      <c r="C2" s="52" t="s">
        <v>97</v>
      </c>
      <c r="D2" s="52">
        <v>0</v>
      </c>
      <c r="E2" s="52">
        <v>0</v>
      </c>
      <c r="F2" s="52">
        <v>1</v>
      </c>
      <c r="G2" s="52">
        <v>1</v>
      </c>
      <c r="H2" s="51" t="s">
        <v>19</v>
      </c>
      <c r="I2" s="51" t="s">
        <v>88</v>
      </c>
      <c r="J2" s="51" t="s">
        <v>21</v>
      </c>
      <c r="K2" s="51" t="s">
        <v>19</v>
      </c>
      <c r="L2" s="51" t="s">
        <v>41</v>
      </c>
      <c r="M2" s="52">
        <v>1</v>
      </c>
      <c r="N2" s="51" t="s">
        <v>19</v>
      </c>
      <c r="O2" s="51" t="s">
        <v>19</v>
      </c>
      <c r="P2" s="51" t="s">
        <v>19</v>
      </c>
      <c r="Q2" s="51" t="s">
        <v>19</v>
      </c>
      <c r="R2" s="53"/>
      <c r="S2" s="40" t="str">
        <f>B2&amp;M2</f>
        <v>Qlabel1</v>
      </c>
      <c r="T2" s="40">
        <f t="shared" ref="T2:T19" si="5">IF(COUNTIF(S:S,S2)&gt;1,0,1)</f>
        <v>1</v>
      </c>
      <c r="V2" s="41" t="str">
        <f t="shared" si="0"/>
        <v>NULL</v>
      </c>
      <c r="W2" s="41" t="str">
        <f t="shared" si="0"/>
        <v>AlignLeft</v>
      </c>
      <c r="X2" s="41" t="str">
        <f t="shared" si="1"/>
        <v>NULL</v>
      </c>
      <c r="Y2" s="40">
        <v>0</v>
      </c>
      <c r="Z2" s="41" t="str">
        <f t="shared" si="2"/>
        <v>Qlabel</v>
      </c>
      <c r="AA2" s="41">
        <f t="shared" si="3"/>
        <v>1</v>
      </c>
      <c r="AB2" s="41" t="str">
        <f t="shared" ref="AB2:AB16" si="6">L2</f>
        <v>GuiF</v>
      </c>
    </row>
    <row r="3" spans="1:28" s="13" customFormat="1" ht="16.5" x14ac:dyDescent="0.15">
      <c r="A3" s="54">
        <f t="shared" si="4"/>
        <v>2</v>
      </c>
      <c r="B3" s="55" t="s">
        <v>22</v>
      </c>
      <c r="C3" s="54" t="s">
        <v>106</v>
      </c>
      <c r="D3" s="52">
        <v>0</v>
      </c>
      <c r="E3" s="52">
        <v>0</v>
      </c>
      <c r="F3" s="52">
        <v>1</v>
      </c>
      <c r="G3" s="52">
        <v>1</v>
      </c>
      <c r="H3" s="54" t="s">
        <v>51</v>
      </c>
      <c r="I3" s="54">
        <v>100</v>
      </c>
      <c r="J3" s="55" t="s">
        <v>19</v>
      </c>
      <c r="K3" s="55" t="s">
        <v>19</v>
      </c>
      <c r="L3" s="54" t="str">
        <f>$L$2</f>
        <v>GuiF</v>
      </c>
      <c r="M3" s="52">
        <v>0</v>
      </c>
      <c r="N3" s="55" t="s">
        <v>19</v>
      </c>
      <c r="O3" s="52" t="str">
        <f>C2</f>
        <v>Select Ncode directory</v>
      </c>
      <c r="P3" s="55" t="s">
        <v>19</v>
      </c>
      <c r="Q3" s="55" t="s">
        <v>19</v>
      </c>
      <c r="R3" s="47"/>
      <c r="S3" s="40" t="str">
        <f t="shared" ref="S3:S19" si="7">B3&amp;M3</f>
        <v>QLineEdit0</v>
      </c>
      <c r="T3" s="40">
        <f t="shared" si="5"/>
        <v>1</v>
      </c>
      <c r="V3" s="11" t="str">
        <f t="shared" si="0"/>
        <v>NcodePara</v>
      </c>
      <c r="W3" s="11">
        <f t="shared" si="0"/>
        <v>100</v>
      </c>
      <c r="X3" s="11" t="str">
        <f t="shared" si="1"/>
        <v>Select Ncode directory</v>
      </c>
      <c r="Y3" s="13">
        <v>0</v>
      </c>
      <c r="Z3" s="11" t="str">
        <f t="shared" si="2"/>
        <v>QLineEdit</v>
      </c>
      <c r="AA3" s="11">
        <f t="shared" si="3"/>
        <v>0</v>
      </c>
      <c r="AB3" s="11" t="str">
        <f t="shared" si="6"/>
        <v>GuiF</v>
      </c>
    </row>
    <row r="4" spans="1:28" s="13" customFormat="1" ht="16.5" x14ac:dyDescent="0.15">
      <c r="A4" s="54">
        <f t="shared" si="4"/>
        <v>3</v>
      </c>
      <c r="B4" s="55" t="s">
        <v>24</v>
      </c>
      <c r="C4" s="52" t="s">
        <v>107</v>
      </c>
      <c r="D4" s="52">
        <v>0</v>
      </c>
      <c r="E4" s="52">
        <v>0</v>
      </c>
      <c r="F4" s="52">
        <v>1</v>
      </c>
      <c r="G4" s="52">
        <v>1</v>
      </c>
      <c r="H4" s="55" t="s">
        <v>19</v>
      </c>
      <c r="I4" s="52" t="s">
        <v>110</v>
      </c>
      <c r="J4" s="55" t="s">
        <v>19</v>
      </c>
      <c r="K4" s="52" t="s">
        <v>66</v>
      </c>
      <c r="L4" s="54" t="str">
        <f t="shared" ref="L4:L20" si="8">$L$2</f>
        <v>GuiF</v>
      </c>
      <c r="M4" s="52">
        <v>0</v>
      </c>
      <c r="N4" s="55" t="s">
        <v>19</v>
      </c>
      <c r="O4" s="55" t="s">
        <v>19</v>
      </c>
      <c r="P4" s="55" t="s">
        <v>19</v>
      </c>
      <c r="Q4" s="55" t="s">
        <v>19</v>
      </c>
      <c r="R4" s="47"/>
      <c r="S4" s="40" t="str">
        <f t="shared" si="7"/>
        <v>QPushButton0</v>
      </c>
      <c r="T4" s="40">
        <f t="shared" si="5"/>
        <v>1</v>
      </c>
      <c r="V4" s="11" t="str">
        <f t="shared" si="0"/>
        <v>NULL</v>
      </c>
      <c r="W4" s="11" t="str">
        <f t="shared" si="0"/>
        <v>ConfigurationFolder/ConnectionBat/ButtonTrans.bat</v>
      </c>
      <c r="X4" s="11" t="str">
        <f t="shared" si="1"/>
        <v>NULL</v>
      </c>
      <c r="Y4" s="13">
        <v>0</v>
      </c>
      <c r="Z4" s="11" t="str">
        <f t="shared" si="2"/>
        <v>QPushButton</v>
      </c>
      <c r="AA4" s="11">
        <f t="shared" si="3"/>
        <v>0</v>
      </c>
      <c r="AB4" s="11" t="str">
        <f t="shared" si="6"/>
        <v>GuiF</v>
      </c>
    </row>
    <row r="5" spans="1:28" s="11" customFormat="1" ht="16.5" x14ac:dyDescent="0.15">
      <c r="A5" s="58">
        <f t="shared" si="4"/>
        <v>4</v>
      </c>
      <c r="B5" s="59" t="s">
        <v>28</v>
      </c>
      <c r="C5" s="59" t="s">
        <v>19</v>
      </c>
      <c r="D5" s="60">
        <v>0</v>
      </c>
      <c r="E5" s="60">
        <v>0</v>
      </c>
      <c r="F5" s="60">
        <v>1</v>
      </c>
      <c r="G5" s="60">
        <v>1</v>
      </c>
      <c r="H5" s="58" t="s">
        <v>51</v>
      </c>
      <c r="I5" s="58">
        <v>101</v>
      </c>
      <c r="J5" s="59" t="s">
        <v>19</v>
      </c>
      <c r="K5" s="60" t="s">
        <v>53</v>
      </c>
      <c r="L5" s="58" t="str">
        <f t="shared" si="8"/>
        <v>GuiF</v>
      </c>
      <c r="M5" s="60">
        <v>0</v>
      </c>
      <c r="N5" s="59" t="s">
        <v>19</v>
      </c>
      <c r="O5" s="60" t="s">
        <v>124</v>
      </c>
      <c r="P5" s="59" t="s">
        <v>19</v>
      </c>
      <c r="Q5" s="59" t="s">
        <v>19</v>
      </c>
      <c r="R5" s="27"/>
      <c r="S5" s="40" t="str">
        <f t="shared" si="7"/>
        <v>QComboBox0</v>
      </c>
      <c r="T5" s="40">
        <f t="shared" si="5"/>
        <v>1</v>
      </c>
      <c r="V5" s="11" t="str">
        <f t="shared" si="0"/>
        <v>NcodePara</v>
      </c>
      <c r="W5" s="11">
        <f t="shared" si="0"/>
        <v>101</v>
      </c>
      <c r="X5" s="11" t="str">
        <f t="shared" si="1"/>
        <v>HUBMat</v>
      </c>
      <c r="Y5" s="11">
        <v>12</v>
      </c>
      <c r="Z5" s="11" t="str">
        <f t="shared" si="2"/>
        <v>QComboBox</v>
      </c>
      <c r="AA5" s="11">
        <f t="shared" si="3"/>
        <v>0</v>
      </c>
      <c r="AB5" s="11" t="str">
        <f t="shared" si="6"/>
        <v>GuiF</v>
      </c>
    </row>
    <row r="6" spans="1:28" s="11" customFormat="1" ht="16.5" x14ac:dyDescent="0.15">
      <c r="A6" s="58">
        <f t="shared" si="4"/>
        <v>5</v>
      </c>
      <c r="B6" s="59" t="s">
        <v>30</v>
      </c>
      <c r="C6" s="59" t="s">
        <v>19</v>
      </c>
      <c r="D6" s="60">
        <v>0</v>
      </c>
      <c r="E6" s="60">
        <v>0</v>
      </c>
      <c r="F6" s="60">
        <v>1</v>
      </c>
      <c r="G6" s="60">
        <v>1</v>
      </c>
      <c r="H6" s="59" t="s">
        <v>19</v>
      </c>
      <c r="I6" s="59" t="s">
        <v>19</v>
      </c>
      <c r="J6" s="59" t="s">
        <v>19</v>
      </c>
      <c r="K6" s="59" t="s">
        <v>19</v>
      </c>
      <c r="L6" s="58" t="str">
        <f t="shared" si="8"/>
        <v>GuiF</v>
      </c>
      <c r="M6" s="60">
        <v>0</v>
      </c>
      <c r="N6" s="59" t="s">
        <v>19</v>
      </c>
      <c r="O6" s="59" t="s">
        <v>19</v>
      </c>
      <c r="P6" s="59" t="s">
        <v>19</v>
      </c>
      <c r="Q6" s="59" t="s">
        <v>19</v>
      </c>
      <c r="R6" s="27"/>
      <c r="S6" s="40" t="str">
        <f t="shared" si="7"/>
        <v>QSpacerItem0</v>
      </c>
      <c r="T6" s="40">
        <f t="shared" si="5"/>
        <v>1</v>
      </c>
      <c r="V6" s="11" t="str">
        <f t="shared" si="0"/>
        <v>NULL</v>
      </c>
      <c r="W6" s="11" t="str">
        <f t="shared" si="0"/>
        <v>NULL</v>
      </c>
      <c r="X6" s="11" t="str">
        <f t="shared" si="1"/>
        <v>NULL</v>
      </c>
      <c r="Y6" s="11">
        <v>13</v>
      </c>
      <c r="Z6" s="11" t="str">
        <f t="shared" si="2"/>
        <v>QSpacerItem</v>
      </c>
      <c r="AA6" s="11">
        <f t="shared" si="3"/>
        <v>0</v>
      </c>
      <c r="AB6" s="11" t="str">
        <f t="shared" si="6"/>
        <v>GuiF</v>
      </c>
    </row>
    <row r="7" spans="1:28" s="11" customFormat="1" ht="16.5" x14ac:dyDescent="0.15">
      <c r="A7" s="31">
        <f t="shared" si="4"/>
        <v>6</v>
      </c>
      <c r="B7" s="32" t="s">
        <v>131</v>
      </c>
      <c r="C7" s="32" t="s">
        <v>19</v>
      </c>
      <c r="D7" s="33">
        <v>0</v>
      </c>
      <c r="E7" s="33">
        <v>0</v>
      </c>
      <c r="F7" s="33">
        <v>1</v>
      </c>
      <c r="G7" s="33">
        <v>1</v>
      </c>
      <c r="H7" s="32" t="s">
        <v>19</v>
      </c>
      <c r="I7" s="32" t="s">
        <v>19</v>
      </c>
      <c r="J7" s="33">
        <v>0</v>
      </c>
      <c r="K7" s="33" t="s">
        <v>112</v>
      </c>
      <c r="L7" s="31" t="str">
        <f t="shared" si="8"/>
        <v>GuiF</v>
      </c>
      <c r="M7" s="33">
        <v>0</v>
      </c>
      <c r="N7" s="33">
        <v>1</v>
      </c>
      <c r="O7" s="33" t="s">
        <v>114</v>
      </c>
      <c r="P7" s="32" t="s">
        <v>19</v>
      </c>
      <c r="Q7" s="33" t="s">
        <v>115</v>
      </c>
      <c r="R7" s="28"/>
      <c r="S7" s="40" t="str">
        <f t="shared" si="7"/>
        <v>QTableWidget0</v>
      </c>
      <c r="T7" s="40">
        <f t="shared" si="5"/>
        <v>1</v>
      </c>
      <c r="V7" s="11" t="str">
        <f>H7</f>
        <v>NULL</v>
      </c>
      <c r="W7" s="11" t="str">
        <f>Q7</f>
        <v>OccurrenceTableData</v>
      </c>
      <c r="X7" s="11" t="str">
        <f t="shared" si="1"/>
        <v>ConfigurationFolder/OccurrenceTableData.csv</v>
      </c>
      <c r="Y7" s="12" t="s">
        <v>40</v>
      </c>
      <c r="Z7" s="11" t="str">
        <f t="shared" si="2"/>
        <v>QTableWidget</v>
      </c>
      <c r="AA7" s="11">
        <f t="shared" si="3"/>
        <v>0</v>
      </c>
      <c r="AB7" s="11" t="str">
        <f t="shared" si="6"/>
        <v>GuiF</v>
      </c>
    </row>
    <row r="8" spans="1:28" s="13" customFormat="1" ht="16.5" x14ac:dyDescent="0.15">
      <c r="A8" s="31">
        <f t="shared" si="4"/>
        <v>7</v>
      </c>
      <c r="B8" s="32" t="s">
        <v>34</v>
      </c>
      <c r="C8" s="33" t="s">
        <v>118</v>
      </c>
      <c r="D8" s="33">
        <v>0</v>
      </c>
      <c r="E8" s="33">
        <v>0</v>
      </c>
      <c r="F8" s="33">
        <v>1</v>
      </c>
      <c r="G8" s="33">
        <v>1</v>
      </c>
      <c r="H8" s="31" t="s">
        <v>51</v>
      </c>
      <c r="I8" s="31">
        <v>102</v>
      </c>
      <c r="J8" s="32" t="s">
        <v>19</v>
      </c>
      <c r="K8" s="32" t="s">
        <v>19</v>
      </c>
      <c r="L8" s="31" t="str">
        <f t="shared" si="8"/>
        <v>GuiF</v>
      </c>
      <c r="M8" s="33">
        <v>0</v>
      </c>
      <c r="N8" s="32" t="s">
        <v>19</v>
      </c>
      <c r="O8" s="33" t="s">
        <v>125</v>
      </c>
      <c r="P8" s="32" t="s">
        <v>19</v>
      </c>
      <c r="Q8" s="32" t="s">
        <v>19</v>
      </c>
      <c r="R8" s="34"/>
      <c r="S8" s="40" t="str">
        <f t="shared" si="7"/>
        <v>QRadioButton0</v>
      </c>
      <c r="T8" s="40">
        <f t="shared" si="5"/>
        <v>1</v>
      </c>
      <c r="V8" s="11" t="str">
        <f>H8</f>
        <v>NcodePara</v>
      </c>
      <c r="W8" s="11">
        <f>I8</f>
        <v>102</v>
      </c>
      <c r="X8" s="11" t="str">
        <f t="shared" si="1"/>
        <v>Unit N</v>
      </c>
      <c r="Y8" s="13">
        <v>0</v>
      </c>
      <c r="Z8" s="11" t="str">
        <f t="shared" si="2"/>
        <v>QRadioButton</v>
      </c>
      <c r="AA8" s="11">
        <f t="shared" si="3"/>
        <v>0</v>
      </c>
      <c r="AB8" s="11" t="str">
        <f t="shared" si="6"/>
        <v>GuiF</v>
      </c>
    </row>
    <row r="9" spans="1:28" s="11" customFormat="1" ht="16.5" x14ac:dyDescent="0.15">
      <c r="A9" s="31">
        <f t="shared" si="4"/>
        <v>8</v>
      </c>
      <c r="B9" s="31" t="s">
        <v>99</v>
      </c>
      <c r="C9" s="32" t="s">
        <v>19</v>
      </c>
      <c r="D9" s="33">
        <v>0</v>
      </c>
      <c r="E9" s="33">
        <v>0</v>
      </c>
      <c r="F9" s="33">
        <v>1</v>
      </c>
      <c r="G9" s="33">
        <v>1</v>
      </c>
      <c r="H9" s="32" t="s">
        <v>19</v>
      </c>
      <c r="I9" s="33">
        <v>1</v>
      </c>
      <c r="J9" s="32" t="s">
        <v>19</v>
      </c>
      <c r="K9" s="32" t="s">
        <v>19</v>
      </c>
      <c r="L9" s="31" t="str">
        <f t="shared" si="8"/>
        <v>GuiF</v>
      </c>
      <c r="M9" s="33">
        <f>A2</f>
        <v>1</v>
      </c>
      <c r="N9" s="33">
        <f>A4</f>
        <v>3</v>
      </c>
      <c r="O9" s="32" t="s">
        <v>19</v>
      </c>
      <c r="P9" s="32" t="s">
        <v>19</v>
      </c>
      <c r="Q9" s="32" t="s">
        <v>19</v>
      </c>
      <c r="R9" s="28"/>
      <c r="S9" s="40" t="str">
        <f>B9&amp;I9</f>
        <v>QGridLayout1</v>
      </c>
      <c r="T9" s="40">
        <f t="shared" si="5"/>
        <v>1</v>
      </c>
      <c r="V9" s="11" t="str">
        <f t="shared" ref="V9:W13" si="9">H9</f>
        <v>NULL</v>
      </c>
      <c r="W9" s="11">
        <f t="shared" si="9"/>
        <v>1</v>
      </c>
      <c r="X9" s="11" t="str">
        <f t="shared" si="1"/>
        <v>NULL</v>
      </c>
      <c r="Y9" s="12" t="s">
        <v>40</v>
      </c>
      <c r="Z9" s="11" t="str">
        <f t="shared" si="2"/>
        <v>QGridLayout</v>
      </c>
      <c r="AA9" s="11">
        <f>I9</f>
        <v>1</v>
      </c>
      <c r="AB9" s="11" t="str">
        <f t="shared" si="6"/>
        <v>GuiF</v>
      </c>
    </row>
    <row r="10" spans="1:28" s="11" customFormat="1" ht="16.5" x14ac:dyDescent="0.15">
      <c r="A10" s="15">
        <f t="shared" si="4"/>
        <v>9</v>
      </c>
      <c r="B10" s="16" t="s">
        <v>27</v>
      </c>
      <c r="C10" s="15" t="s">
        <v>56</v>
      </c>
      <c r="D10" s="17">
        <v>0</v>
      </c>
      <c r="E10" s="17">
        <v>0</v>
      </c>
      <c r="F10" s="17">
        <v>1</v>
      </c>
      <c r="G10" s="17">
        <v>1</v>
      </c>
      <c r="H10" s="16" t="s">
        <v>19</v>
      </c>
      <c r="I10" s="17">
        <f>J10+1</f>
        <v>2</v>
      </c>
      <c r="J10" s="17">
        <f t="shared" ref="J10" si="10">I9</f>
        <v>1</v>
      </c>
      <c r="K10" s="17" t="s">
        <v>33</v>
      </c>
      <c r="L10" s="15" t="str">
        <f t="shared" si="8"/>
        <v>GuiF</v>
      </c>
      <c r="M10" s="16" t="s">
        <v>19</v>
      </c>
      <c r="N10" s="16" t="s">
        <v>19</v>
      </c>
      <c r="O10" s="16" t="s">
        <v>19</v>
      </c>
      <c r="P10" s="17">
        <v>0</v>
      </c>
      <c r="Q10" s="17" t="s">
        <v>117</v>
      </c>
      <c r="S10" s="40" t="str">
        <f>B10&amp;I10</f>
        <v>QGroupBox2</v>
      </c>
      <c r="T10" s="40">
        <f t="shared" si="5"/>
        <v>1</v>
      </c>
      <c r="V10" s="11" t="str">
        <f t="shared" si="9"/>
        <v>NULL</v>
      </c>
      <c r="W10" s="11" t="str">
        <f>Q10</f>
        <v>ChannelGroupCheck</v>
      </c>
      <c r="X10" s="11" t="str">
        <f t="shared" si="1"/>
        <v>NULL</v>
      </c>
      <c r="Y10" s="12" t="s">
        <v>40</v>
      </c>
      <c r="Z10" s="11" t="str">
        <f t="shared" si="2"/>
        <v>QGroupBox</v>
      </c>
      <c r="AA10" s="11">
        <f>I10</f>
        <v>2</v>
      </c>
      <c r="AB10" s="11" t="str">
        <f t="shared" si="6"/>
        <v>GuiF</v>
      </c>
    </row>
    <row r="11" spans="1:28" s="13" customFormat="1" ht="16.5" x14ac:dyDescent="0.15">
      <c r="A11" s="58">
        <f t="shared" si="4"/>
        <v>10</v>
      </c>
      <c r="B11" s="58" t="s">
        <v>128</v>
      </c>
      <c r="C11" s="59" t="s">
        <v>19</v>
      </c>
      <c r="D11" s="60">
        <v>0</v>
      </c>
      <c r="E11" s="60">
        <v>0</v>
      </c>
      <c r="F11" s="60">
        <v>1</v>
      </c>
      <c r="G11" s="60">
        <v>1</v>
      </c>
      <c r="H11" s="59" t="s">
        <v>19</v>
      </c>
      <c r="I11" s="60">
        <v>2</v>
      </c>
      <c r="J11" s="59" t="s">
        <v>19</v>
      </c>
      <c r="K11" s="59" t="s">
        <v>19</v>
      </c>
      <c r="L11" s="58" t="str">
        <f t="shared" si="8"/>
        <v>GuiF</v>
      </c>
      <c r="M11" s="60">
        <f>A5</f>
        <v>4</v>
      </c>
      <c r="N11" s="60">
        <f>A6</f>
        <v>5</v>
      </c>
      <c r="O11" s="59" t="s">
        <v>19</v>
      </c>
      <c r="P11" s="59" t="s">
        <v>19</v>
      </c>
      <c r="Q11" s="59" t="s">
        <v>19</v>
      </c>
      <c r="R11" s="61"/>
      <c r="S11" s="40" t="str">
        <f>B11&amp;I11</f>
        <v>QHBoxLayout2</v>
      </c>
      <c r="T11" s="40">
        <f t="shared" si="5"/>
        <v>1</v>
      </c>
      <c r="V11" s="11" t="str">
        <f t="shared" si="9"/>
        <v>NULL</v>
      </c>
      <c r="W11" s="11">
        <f t="shared" si="9"/>
        <v>2</v>
      </c>
      <c r="X11" s="11" t="str">
        <f t="shared" si="1"/>
        <v>NULL</v>
      </c>
      <c r="Y11" s="13">
        <v>0</v>
      </c>
      <c r="Z11" s="11" t="str">
        <f t="shared" si="2"/>
        <v>QHBoxLayout</v>
      </c>
      <c r="AA11" s="11">
        <f>W11</f>
        <v>2</v>
      </c>
      <c r="AB11" s="11" t="str">
        <f t="shared" si="6"/>
        <v>GuiF</v>
      </c>
    </row>
    <row r="12" spans="1:28" s="13" customFormat="1" ht="16.5" x14ac:dyDescent="0.15">
      <c r="A12" s="31">
        <f t="shared" si="4"/>
        <v>11</v>
      </c>
      <c r="B12" s="31" t="s">
        <v>130</v>
      </c>
      <c r="C12" s="32" t="s">
        <v>19</v>
      </c>
      <c r="D12" s="33">
        <v>0</v>
      </c>
      <c r="E12" s="33">
        <v>0</v>
      </c>
      <c r="F12" s="33">
        <v>1</v>
      </c>
      <c r="G12" s="33">
        <v>1</v>
      </c>
      <c r="H12" s="32" t="s">
        <v>19</v>
      </c>
      <c r="I12" s="33">
        <v>6</v>
      </c>
      <c r="J12" s="32" t="s">
        <v>19</v>
      </c>
      <c r="K12" s="32" t="s">
        <v>19</v>
      </c>
      <c r="L12" s="31" t="str">
        <f t="shared" si="8"/>
        <v>GuiF</v>
      </c>
      <c r="M12" s="33">
        <f>A7</f>
        <v>6</v>
      </c>
      <c r="N12" s="33">
        <f>A9</f>
        <v>8</v>
      </c>
      <c r="O12" s="32" t="s">
        <v>19</v>
      </c>
      <c r="P12" s="32" t="s">
        <v>19</v>
      </c>
      <c r="Q12" s="32" t="s">
        <v>19</v>
      </c>
      <c r="R12" s="34"/>
      <c r="S12" s="40" t="str">
        <f>LEFT(B12,LEN(B12)-2)&amp;I12</f>
        <v>QHBoxLayout6</v>
      </c>
      <c r="T12" s="40">
        <f t="shared" si="5"/>
        <v>1</v>
      </c>
      <c r="V12" s="11" t="str">
        <f t="shared" si="9"/>
        <v>NULL</v>
      </c>
      <c r="W12" s="11">
        <f t="shared" si="9"/>
        <v>6</v>
      </c>
      <c r="X12" s="11" t="str">
        <f t="shared" si="1"/>
        <v>NULL</v>
      </c>
      <c r="Y12" s="13">
        <v>0</v>
      </c>
      <c r="Z12" s="11" t="str">
        <f t="shared" si="2"/>
        <v>QHBoxLayout_M</v>
      </c>
      <c r="AA12" s="11">
        <f>W12</f>
        <v>6</v>
      </c>
      <c r="AB12" s="11" t="str">
        <f t="shared" si="6"/>
        <v>GuiF</v>
      </c>
    </row>
    <row r="13" spans="1:28" s="11" customFormat="1" ht="16.5" x14ac:dyDescent="0.15">
      <c r="A13" s="15">
        <f t="shared" si="4"/>
        <v>12</v>
      </c>
      <c r="B13" s="16" t="s">
        <v>103</v>
      </c>
      <c r="C13" s="15" t="s">
        <v>80</v>
      </c>
      <c r="D13" s="17">
        <v>0</v>
      </c>
      <c r="E13" s="17">
        <v>0</v>
      </c>
      <c r="F13" s="17">
        <v>1</v>
      </c>
      <c r="G13" s="17">
        <v>1</v>
      </c>
      <c r="H13" s="16" t="s">
        <v>19</v>
      </c>
      <c r="I13" s="17">
        <f>J13+1</f>
        <v>7</v>
      </c>
      <c r="J13" s="17">
        <f t="shared" ref="J13" si="11">I12</f>
        <v>6</v>
      </c>
      <c r="K13" s="16" t="s">
        <v>19</v>
      </c>
      <c r="L13" s="15" t="str">
        <f t="shared" si="8"/>
        <v>GuiF</v>
      </c>
      <c r="M13" s="17">
        <f>A10</f>
        <v>9</v>
      </c>
      <c r="N13" s="17">
        <f>A12</f>
        <v>11</v>
      </c>
      <c r="O13" s="16" t="s">
        <v>19</v>
      </c>
      <c r="P13" s="19">
        <v>0</v>
      </c>
      <c r="Q13" s="19" t="s">
        <v>127</v>
      </c>
      <c r="S13" s="20" t="str">
        <f>B13&amp;I13</f>
        <v>QGroupBox_E7</v>
      </c>
      <c r="T13" s="20">
        <f t="shared" si="5"/>
        <v>1</v>
      </c>
      <c r="V13" s="11" t="str">
        <f t="shared" si="9"/>
        <v>NULL</v>
      </c>
      <c r="W13" s="11" t="str">
        <f>Q13</f>
        <v>AdvancedSetting</v>
      </c>
      <c r="X13" s="11" t="str">
        <f t="shared" si="1"/>
        <v>NULL</v>
      </c>
      <c r="Y13" s="12" t="s">
        <v>40</v>
      </c>
      <c r="Z13" s="11" t="str">
        <f t="shared" si="2"/>
        <v>QGroupBox_E</v>
      </c>
      <c r="AA13" s="11">
        <f>I13</f>
        <v>7</v>
      </c>
      <c r="AB13" s="11" t="str">
        <f t="shared" si="6"/>
        <v>GuiF</v>
      </c>
    </row>
    <row r="14" spans="1:28" s="23" customFormat="1" ht="16.5" x14ac:dyDescent="0.15">
      <c r="A14" s="21">
        <f t="shared" si="4"/>
        <v>13</v>
      </c>
      <c r="B14" s="22" t="s">
        <v>45</v>
      </c>
      <c r="C14" s="22" t="s">
        <v>19</v>
      </c>
      <c r="D14" s="22" t="s">
        <v>19</v>
      </c>
      <c r="E14" s="22" t="s">
        <v>19</v>
      </c>
      <c r="F14" s="22" t="s">
        <v>19</v>
      </c>
      <c r="G14" s="22" t="s">
        <v>19</v>
      </c>
      <c r="H14" s="22" t="s">
        <v>46</v>
      </c>
      <c r="I14" s="22">
        <v>100</v>
      </c>
      <c r="J14" s="21" t="s">
        <v>19</v>
      </c>
      <c r="K14" s="22" t="s">
        <v>19</v>
      </c>
      <c r="L14" s="21" t="str">
        <f t="shared" si="8"/>
        <v>GuiF</v>
      </c>
      <c r="M14" s="19">
        <v>1</v>
      </c>
      <c r="N14" s="22" t="s">
        <v>19</v>
      </c>
      <c r="O14" s="19" t="s">
        <v>126</v>
      </c>
      <c r="P14" s="22" t="s">
        <v>19</v>
      </c>
      <c r="Q14" s="22" t="s">
        <v>19</v>
      </c>
      <c r="S14" s="20" t="str">
        <f t="shared" si="7"/>
        <v>UserDefined1</v>
      </c>
      <c r="T14" s="20">
        <f t="shared" si="5"/>
        <v>1</v>
      </c>
      <c r="V14" s="23" t="str">
        <f t="shared" ref="V14:W18" si="12">H14</f>
        <v>PathFile</v>
      </c>
      <c r="W14" s="23">
        <f t="shared" si="12"/>
        <v>100</v>
      </c>
      <c r="X14" s="23" t="str">
        <f t="shared" si="1"/>
        <v>OutPutPath</v>
      </c>
      <c r="Y14" s="24" t="str">
        <f>Q14</f>
        <v>NULL</v>
      </c>
      <c r="Z14" s="23" t="str">
        <f t="shared" si="2"/>
        <v>UserDefined</v>
      </c>
      <c r="AA14" s="23">
        <f>M:M</f>
        <v>1</v>
      </c>
      <c r="AB14" s="23" t="str">
        <f t="shared" si="6"/>
        <v>GuiF</v>
      </c>
    </row>
    <row r="15" spans="1:28" s="11" customFormat="1" ht="16.5" x14ac:dyDescent="0.15">
      <c r="A15" s="15">
        <f t="shared" si="4"/>
        <v>14</v>
      </c>
      <c r="B15" s="16" t="s">
        <v>45</v>
      </c>
      <c r="C15" s="16" t="s">
        <v>19</v>
      </c>
      <c r="D15" s="16" t="s">
        <v>19</v>
      </c>
      <c r="E15" s="16" t="s">
        <v>19</v>
      </c>
      <c r="F15" s="16" t="s">
        <v>19</v>
      </c>
      <c r="G15" s="16" t="s">
        <v>19</v>
      </c>
      <c r="H15" s="16" t="s">
        <v>46</v>
      </c>
      <c r="I15" s="16">
        <v>101</v>
      </c>
      <c r="J15" s="16" t="s">
        <v>19</v>
      </c>
      <c r="K15" s="16" t="s">
        <v>19</v>
      </c>
      <c r="L15" s="15" t="str">
        <f t="shared" si="8"/>
        <v>GuiF</v>
      </c>
      <c r="M15" s="17">
        <v>0</v>
      </c>
      <c r="N15" s="16" t="s">
        <v>19</v>
      </c>
      <c r="O15" s="19" t="s">
        <v>123</v>
      </c>
      <c r="P15" s="16" t="s">
        <v>19</v>
      </c>
      <c r="Q15" s="16" t="s">
        <v>19</v>
      </c>
      <c r="S15" s="20" t="str">
        <f t="shared" si="7"/>
        <v>UserDefined0</v>
      </c>
      <c r="T15" s="20">
        <f t="shared" si="5"/>
        <v>1</v>
      </c>
      <c r="V15" s="11" t="str">
        <f t="shared" si="12"/>
        <v>PathFile</v>
      </c>
      <c r="W15" s="11">
        <f t="shared" si="12"/>
        <v>101</v>
      </c>
      <c r="X15" s="11" t="str">
        <f t="shared" si="1"/>
        <v>MainPath</v>
      </c>
      <c r="Y15" s="12" t="s">
        <v>17</v>
      </c>
      <c r="Z15" s="11" t="str">
        <f t="shared" si="2"/>
        <v>UserDefined</v>
      </c>
      <c r="AA15" s="11">
        <f>M:M</f>
        <v>0</v>
      </c>
      <c r="AB15" s="11" t="str">
        <f t="shared" si="6"/>
        <v>GuiF</v>
      </c>
    </row>
    <row r="16" spans="1:28" s="23" customFormat="1" ht="16.5" x14ac:dyDescent="0.15">
      <c r="A16" s="21">
        <f t="shared" si="4"/>
        <v>15</v>
      </c>
      <c r="B16" s="22" t="s">
        <v>18</v>
      </c>
      <c r="C16" s="25" t="s">
        <v>31</v>
      </c>
      <c r="D16" s="22">
        <v>0</v>
      </c>
      <c r="E16" s="22">
        <v>0</v>
      </c>
      <c r="F16" s="22">
        <v>1</v>
      </c>
      <c r="G16" s="22">
        <v>1</v>
      </c>
      <c r="H16" s="25" t="s">
        <v>31</v>
      </c>
      <c r="I16" s="22" t="s">
        <v>32</v>
      </c>
      <c r="J16" s="22" t="s">
        <v>21</v>
      </c>
      <c r="K16" s="17" t="s">
        <v>122</v>
      </c>
      <c r="L16" s="21" t="str">
        <f t="shared" si="8"/>
        <v>GuiF</v>
      </c>
      <c r="M16" s="19">
        <v>0</v>
      </c>
      <c r="N16" s="22" t="s">
        <v>19</v>
      </c>
      <c r="O16" s="22" t="s">
        <v>19</v>
      </c>
      <c r="P16" s="22" t="s">
        <v>19</v>
      </c>
      <c r="Q16" s="22" t="s">
        <v>19</v>
      </c>
      <c r="S16" s="20" t="str">
        <f t="shared" si="7"/>
        <v>Qlabel0</v>
      </c>
      <c r="T16" s="20">
        <f t="shared" si="5"/>
        <v>1</v>
      </c>
      <c r="V16" s="23" t="str">
        <f t="shared" si="12"/>
        <v>Picture</v>
      </c>
      <c r="W16" s="23" t="str">
        <f t="shared" si="12"/>
        <v>AlignHCenter</v>
      </c>
      <c r="X16" s="23" t="str">
        <f t="shared" si="1"/>
        <v>NULL</v>
      </c>
      <c r="Y16" s="23">
        <v>32</v>
      </c>
      <c r="Z16" s="23" t="str">
        <f t="shared" si="2"/>
        <v>Qlabel</v>
      </c>
      <c r="AA16" s="23">
        <f>M:M</f>
        <v>0</v>
      </c>
      <c r="AB16" s="23" t="str">
        <f t="shared" si="6"/>
        <v>GuiF</v>
      </c>
    </row>
    <row r="17" spans="1:28" s="40" customFormat="1" ht="16.5" x14ac:dyDescent="0.15">
      <c r="A17" s="51">
        <f t="shared" si="4"/>
        <v>16</v>
      </c>
      <c r="B17" s="51" t="s">
        <v>133</v>
      </c>
      <c r="C17" s="52" t="s">
        <v>106</v>
      </c>
      <c r="D17" s="52">
        <v>0</v>
      </c>
      <c r="E17" s="52">
        <v>0</v>
      </c>
      <c r="F17" s="52">
        <v>1</v>
      </c>
      <c r="G17" s="52">
        <v>1</v>
      </c>
      <c r="H17" s="51" t="s">
        <v>19</v>
      </c>
      <c r="I17" s="51" t="s">
        <v>88</v>
      </c>
      <c r="J17" s="51" t="s">
        <v>21</v>
      </c>
      <c r="K17" s="51" t="s">
        <v>19</v>
      </c>
      <c r="L17" s="51" t="s">
        <v>41</v>
      </c>
      <c r="M17" s="52">
        <v>1</v>
      </c>
      <c r="N17" s="51" t="s">
        <v>19</v>
      </c>
      <c r="O17" s="51" t="s">
        <v>19</v>
      </c>
      <c r="P17" s="51" t="s">
        <v>19</v>
      </c>
      <c r="Q17" s="51" t="s">
        <v>19</v>
      </c>
      <c r="R17" s="53"/>
      <c r="S17" s="40" t="str">
        <f>B17&amp;M17</f>
        <v>QTextEdit1</v>
      </c>
      <c r="T17" s="40">
        <f t="shared" si="5"/>
        <v>1</v>
      </c>
      <c r="V17" s="41" t="str">
        <f t="shared" si="12"/>
        <v>NULL</v>
      </c>
      <c r="W17" s="41" t="str">
        <f t="shared" si="12"/>
        <v>AlignLeft</v>
      </c>
      <c r="X17" s="41" t="str">
        <f t="shared" ref="X17:X18" si="13">O17</f>
        <v>NULL</v>
      </c>
      <c r="Y17" s="40">
        <v>0</v>
      </c>
      <c r="Z17" s="41" t="str">
        <f t="shared" ref="Z17:Z18" si="14">B17</f>
        <v>QTextEdit</v>
      </c>
      <c r="AA17" s="41">
        <f>M:M</f>
        <v>1</v>
      </c>
      <c r="AB17" s="41" t="str">
        <f t="shared" ref="AB17:AB18" si="15">L17</f>
        <v>GuiF</v>
      </c>
    </row>
    <row r="18" spans="1:28" s="11" customFormat="1" ht="16.5" x14ac:dyDescent="0.15">
      <c r="A18" s="15">
        <f t="shared" si="4"/>
        <v>17</v>
      </c>
      <c r="B18" s="15" t="s">
        <v>154</v>
      </c>
      <c r="C18" s="15" t="s">
        <v>155</v>
      </c>
      <c r="D18" s="17">
        <v>0</v>
      </c>
      <c r="E18" s="17">
        <v>0</v>
      </c>
      <c r="F18" s="17">
        <v>1</v>
      </c>
      <c r="G18" s="17">
        <v>1</v>
      </c>
      <c r="H18" s="16" t="s">
        <v>19</v>
      </c>
      <c r="I18" s="17">
        <v>0</v>
      </c>
      <c r="J18" s="17">
        <f>I9</f>
        <v>1</v>
      </c>
      <c r="K18" s="17" t="s">
        <v>33</v>
      </c>
      <c r="L18" s="15" t="str">
        <f t="shared" si="8"/>
        <v>GuiF</v>
      </c>
      <c r="M18" s="15" t="s">
        <v>156</v>
      </c>
      <c r="N18" s="16" t="s">
        <v>19</v>
      </c>
      <c r="O18" s="16" t="s">
        <v>19</v>
      </c>
      <c r="P18" s="17">
        <v>0</v>
      </c>
      <c r="Q18" s="17" t="s">
        <v>157</v>
      </c>
      <c r="S18" s="40" t="str">
        <f>B18&amp;I18</f>
        <v>QTabWidget0</v>
      </c>
      <c r="T18" s="40">
        <f t="shared" si="5"/>
        <v>1</v>
      </c>
      <c r="V18" s="11" t="str">
        <f t="shared" si="12"/>
        <v>NULL</v>
      </c>
      <c r="W18" s="11" t="str">
        <f>Q18</f>
        <v>TabCheck</v>
      </c>
      <c r="X18" s="11" t="str">
        <f t="shared" si="13"/>
        <v>NULL</v>
      </c>
      <c r="Y18" s="12" t="s">
        <v>40</v>
      </c>
      <c r="Z18" s="11" t="str">
        <f t="shared" si="14"/>
        <v>QTabWidget</v>
      </c>
      <c r="AA18" s="11">
        <f>I18</f>
        <v>0</v>
      </c>
      <c r="AB18" s="11" t="str">
        <f t="shared" si="15"/>
        <v>GuiF</v>
      </c>
    </row>
    <row r="19" spans="1:28" s="11" customFormat="1" x14ac:dyDescent="0.15">
      <c r="A19" s="15">
        <f t="shared" si="4"/>
        <v>18</v>
      </c>
      <c r="B19" s="16">
        <v>1</v>
      </c>
      <c r="C19" s="16">
        <v>2</v>
      </c>
      <c r="D19" s="16">
        <v>3</v>
      </c>
      <c r="E19" s="16">
        <v>4</v>
      </c>
      <c r="F19" s="16">
        <v>5</v>
      </c>
      <c r="G19" s="16">
        <v>6</v>
      </c>
      <c r="H19" s="16">
        <v>7</v>
      </c>
      <c r="I19" s="16">
        <v>8</v>
      </c>
      <c r="J19" s="16">
        <v>9</v>
      </c>
      <c r="K19" s="16">
        <v>10</v>
      </c>
      <c r="L19" s="15" t="str">
        <f t="shared" si="8"/>
        <v>GuiF</v>
      </c>
      <c r="M19" s="16">
        <v>12</v>
      </c>
      <c r="N19" s="16">
        <v>13</v>
      </c>
      <c r="O19" s="16">
        <v>14</v>
      </c>
      <c r="P19" s="16">
        <v>15</v>
      </c>
      <c r="Q19" s="16">
        <v>16</v>
      </c>
      <c r="S19" s="20" t="str">
        <f t="shared" si="7"/>
        <v>112</v>
      </c>
      <c r="T19" s="20">
        <f t="shared" si="5"/>
        <v>1</v>
      </c>
    </row>
    <row r="20" spans="1:28" x14ac:dyDescent="0.1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5" t="str">
        <f t="shared" si="8"/>
        <v>GuiF</v>
      </c>
      <c r="M20" s="18"/>
      <c r="N20" s="18"/>
      <c r="O20" s="18"/>
      <c r="P20" s="18"/>
      <c r="Q20" s="18"/>
    </row>
    <row r="21" spans="1:28" x14ac:dyDescent="0.15">
      <c r="C21" s="4" t="s">
        <v>119</v>
      </c>
    </row>
    <row r="22" spans="1:28" x14ac:dyDescent="0.15">
      <c r="R22" s="4" t="s">
        <v>129</v>
      </c>
    </row>
    <row r="23" spans="1:28" ht="16.5" x14ac:dyDescent="0.15">
      <c r="Q23" s="14"/>
      <c r="R23" s="26">
        <v>1</v>
      </c>
      <c r="S23" s="26">
        <v>10</v>
      </c>
    </row>
    <row r="24" spans="1:28" x14ac:dyDescent="0.15">
      <c r="R24" s="27">
        <v>2</v>
      </c>
      <c r="S24" s="27">
        <v>11</v>
      </c>
    </row>
    <row r="25" spans="1:28" x14ac:dyDescent="0.15">
      <c r="R25" s="28">
        <v>3</v>
      </c>
      <c r="S25" s="28">
        <v>12</v>
      </c>
    </row>
    <row r="26" spans="1:28" x14ac:dyDescent="0.15">
      <c r="E26" t="s">
        <v>111</v>
      </c>
      <c r="J26" t="s">
        <v>113</v>
      </c>
      <c r="R26" s="29">
        <v>4</v>
      </c>
      <c r="S26" s="29">
        <v>13</v>
      </c>
    </row>
    <row r="27" spans="1:28" x14ac:dyDescent="0.15">
      <c r="A27" s="4" t="s">
        <v>108</v>
      </c>
      <c r="B27" s="4" t="s">
        <v>109</v>
      </c>
      <c r="R27" s="30">
        <v>5</v>
      </c>
      <c r="S27" s="30">
        <v>14</v>
      </c>
    </row>
    <row r="28" spans="1:28" x14ac:dyDescent="0.15">
      <c r="R28" s="11">
        <v>6</v>
      </c>
      <c r="S28" s="11">
        <v>15</v>
      </c>
    </row>
    <row r="29" spans="1:28" x14ac:dyDescent="0.15">
      <c r="R29" s="11">
        <v>7</v>
      </c>
      <c r="S29" s="11">
        <v>16</v>
      </c>
    </row>
    <row r="30" spans="1:28" x14ac:dyDescent="0.15">
      <c r="R30" s="11">
        <v>8</v>
      </c>
      <c r="S30" s="11">
        <v>17</v>
      </c>
    </row>
    <row r="31" spans="1:28" x14ac:dyDescent="0.15">
      <c r="R31" s="11"/>
      <c r="S31" s="11"/>
    </row>
    <row r="32" spans="1:28" ht="16.5" x14ac:dyDescent="0.15">
      <c r="O32" s="14"/>
      <c r="R32" s="11"/>
      <c r="S32" s="11"/>
    </row>
    <row r="33" spans="18:19" x14ac:dyDescent="0.15">
      <c r="R33" s="11"/>
      <c r="S33" s="11"/>
    </row>
    <row r="34" spans="18:19" x14ac:dyDescent="0.15">
      <c r="R34" s="11"/>
      <c r="S34" s="11"/>
    </row>
  </sheetData>
  <dataConsolidate/>
  <phoneticPr fontId="2" type="noConversion"/>
  <conditionalFormatting sqref="T1:T16 T19:T1048576">
    <cfRule type="cellIs" dxfId="71" priority="5" operator="lessThan">
      <formula>0.5</formula>
    </cfRule>
    <cfRule type="cellIs" dxfId="70" priority="6" operator="greaterThan">
      <formula>0</formula>
    </cfRule>
  </conditionalFormatting>
  <conditionalFormatting sqref="T17">
    <cfRule type="cellIs" dxfId="69" priority="3" operator="lessThan">
      <formula>0.5</formula>
    </cfRule>
    <cfRule type="cellIs" dxfId="68" priority="4" operator="greaterThan">
      <formula>0</formula>
    </cfRule>
  </conditionalFormatting>
  <conditionalFormatting sqref="T18">
    <cfRule type="cellIs" dxfId="67" priority="1" operator="lessThan">
      <formula>0.5</formula>
    </cfRule>
    <cfRule type="cellIs" dxfId="66" priority="2" operator="greaterThan">
      <formula>0</formula>
    </cfRule>
  </conditionalFormatting>
  <dataValidations count="2">
    <dataValidation type="whole" allowBlank="1" showInputMessage="1" showErrorMessage="1" errorTitle="输入值无效" error="请输入0-499的整数" sqref="D2:E13 I9:I13 D16:E18 M2:M8 M14:M17 I18">
      <formula1>0</formula1>
      <formula2>499</formula2>
    </dataValidation>
    <dataValidation type="whole" allowBlank="1" showInputMessage="1" showErrorMessage="1" errorTitle="输入值无效" error="请输入1-100的整数" sqref="F2:G13 F16:G18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1" r:id="rId4" name="Button 387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123825</xdr:colOff>
                    <xdr:row>0</xdr:row>
                    <xdr:rowOff>38100</xdr:rowOff>
                  </from>
                  <to>
                    <xdr:col>10</xdr:col>
                    <xdr:colOff>1285875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5" name="Button 390">
              <controlPr defaultSize="0" print="0" autoFill="0" autoPict="0" macro="[0]!CreateGUICsv">
                <anchor moveWithCells="1" sizeWithCells="1">
                  <from>
                    <xdr:col>10</xdr:col>
                    <xdr:colOff>1609725</xdr:colOff>
                    <xdr:row>0</xdr:row>
                    <xdr:rowOff>19050</xdr:rowOff>
                  </from>
                  <to>
                    <xdr:col>11</xdr:col>
                    <xdr:colOff>19050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AllNoChange!$B$2:$B$5</xm:f>
          </x14:formula1>
          <xm:sqref>I2 I16:I17</xm:sqref>
        </x14:dataValidation>
        <x14:dataValidation type="list" allowBlank="1" showInputMessage="1" showErrorMessage="1">
          <x14:formula1>
            <xm:f>AllNoChange!$C$2:$C$5</xm:f>
          </x14:formula1>
          <xm:sqref>J2 J16:J17</xm:sqref>
        </x14:dataValidation>
        <x14:dataValidation type="list" allowBlank="1" showInputMessage="1" showErrorMessage="1">
          <x14:formula1>
            <xm:f>AllNoChange!$F$2</xm:f>
          </x14:formula1>
          <xm:sqref>H16</xm:sqref>
        </x14:dataValidation>
        <x14:dataValidation type="list" allowBlank="1" showInputMessage="1" showErrorMessage="1">
          <x14:formula1>
            <xm:f>AllNoChange!$G$2</xm:f>
          </x14:formula1>
          <xm:sqref>H2 H9:H13 C9 K2:K3 I6:K6 H4 N2:Q2 P3:Q6 N8 N5:N6 N14:N16 P7:P9 M10:O10 O16 O4 O6 O9 O13 O11:Q12 K11:K15 C11:C12 C14:G15 J15 J11:J12 J3:J5 C5:C7 H6:H7 I7 J8:K9 N3 Q8:Q9 P14:Q16 N17:Q17 H17:H18 N18:O18</xm:sqref>
        </x14:dataValidation>
        <x14:dataValidation type="list" allowBlank="1" showInputMessage="1" showErrorMessage="1">
          <x14:formula1>
            <xm:f>AllNoChange!$F$6:$F$7</xm:f>
          </x14:formula1>
          <xm:sqref>K10 K18</xm:sqref>
        </x14:dataValidation>
        <x14:dataValidation type="list" allowBlank="1" showInputMessage="1" showErrorMessage="1">
          <x14:formula1>
            <xm:f>AllNoChange!$G$6:$G$8</xm:f>
          </x14:formula1>
          <xm:sqref>P10 P18</xm:sqref>
        </x14:dataValidation>
        <x14:dataValidation type="list" allowBlank="1" showInputMessage="1" showErrorMessage="1">
          <x14:formula1>
            <xm:f>AllNoChange!$A$2:$A$22</xm:f>
          </x14:formula1>
          <xm:sqref>B3:B18</xm:sqref>
        </x14:dataValidation>
        <x14:dataValidation type="list" errorStyle="warning" allowBlank="1" showInputMessage="1" showErrorMessage="1" error="默认为NULL">
          <x14:formula1>
            <xm:f>AllNoChange!$G$2</xm:f>
          </x14:formula1>
          <xm:sqref>Q10 Q18</xm:sqref>
        </x14:dataValidation>
        <x14:dataValidation type="list" errorStyle="warning" allowBlank="1" showInputMessage="1" showErrorMessage="1" errorTitle="默认为NULL">
          <x14:formula1>
            <xm:f>AllNoChange!$B$6</xm:f>
          </x14:formula1>
          <xm:sqref>N4</xm:sqref>
        </x14:dataValidation>
        <x14:dataValidation type="list" errorStyle="warning" allowBlank="1" showInputMessage="1" showErrorMessage="1">
          <x14:formula1>
            <xm:f>AllNoChange!$G$2</xm:f>
          </x14:formula1>
          <xm:sqref>K17 M18</xm:sqref>
        </x14:dataValidation>
        <x14:dataValidation type="list" allowBlank="1" showInputMessage="1" showErrorMessage="1">
          <x14:formula1>
            <xm:f>AllNoChange!$A$2:$A$22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42"/>
  <sheetViews>
    <sheetView workbookViewId="0">
      <selection activeCell="A19" sqref="A19"/>
    </sheetView>
  </sheetViews>
  <sheetFormatPr defaultRowHeight="13.5" x14ac:dyDescent="0.15"/>
  <cols>
    <col min="1" max="1" width="15" bestFit="1" customWidth="1"/>
    <col min="2" max="2" width="13.875" bestFit="1" customWidth="1"/>
    <col min="3" max="3" width="15" bestFit="1" customWidth="1"/>
  </cols>
  <sheetData>
    <row r="1" spans="1:7" x14ac:dyDescent="0.15">
      <c r="A1" s="1" t="s">
        <v>1</v>
      </c>
      <c r="B1" s="1" t="s">
        <v>8</v>
      </c>
      <c r="C1" s="1" t="s">
        <v>9</v>
      </c>
    </row>
    <row r="2" spans="1:7" x14ac:dyDescent="0.15">
      <c r="A2" t="s">
        <v>18</v>
      </c>
      <c r="B2" s="10" t="s">
        <v>20</v>
      </c>
      <c r="C2" t="s">
        <v>21</v>
      </c>
      <c r="E2" s="4" t="s">
        <v>104</v>
      </c>
      <c r="F2" t="s">
        <v>31</v>
      </c>
      <c r="G2" s="4" t="s">
        <v>105</v>
      </c>
    </row>
    <row r="3" spans="1:7" x14ac:dyDescent="0.15">
      <c r="A3" t="s">
        <v>22</v>
      </c>
      <c r="B3" s="10" t="s">
        <v>88</v>
      </c>
      <c r="C3" t="s">
        <v>89</v>
      </c>
    </row>
    <row r="4" spans="1:7" x14ac:dyDescent="0.15">
      <c r="A4" t="s">
        <v>24</v>
      </c>
      <c r="B4" s="10" t="s">
        <v>32</v>
      </c>
      <c r="C4" t="s">
        <v>90</v>
      </c>
    </row>
    <row r="5" spans="1:7" x14ac:dyDescent="0.15">
      <c r="A5" s="1" t="s">
        <v>34</v>
      </c>
      <c r="B5" s="10" t="s">
        <v>92</v>
      </c>
      <c r="C5" t="s">
        <v>91</v>
      </c>
    </row>
    <row r="6" spans="1:7" x14ac:dyDescent="0.15">
      <c r="A6" t="s">
        <v>28</v>
      </c>
      <c r="B6" s="4" t="s">
        <v>60</v>
      </c>
      <c r="C6" s="4" t="s">
        <v>60</v>
      </c>
      <c r="E6" s="3" t="s">
        <v>27</v>
      </c>
      <c r="F6" s="4" t="s">
        <v>105</v>
      </c>
      <c r="G6">
        <v>0</v>
      </c>
    </row>
    <row r="7" spans="1:7" x14ac:dyDescent="0.15">
      <c r="A7" s="1" t="s">
        <v>36</v>
      </c>
      <c r="B7">
        <v>1</v>
      </c>
      <c r="F7" s="4" t="s">
        <v>116</v>
      </c>
      <c r="G7">
        <v>1</v>
      </c>
    </row>
    <row r="8" spans="1:7" x14ac:dyDescent="0.15">
      <c r="A8" t="s">
        <v>30</v>
      </c>
      <c r="B8">
        <v>2</v>
      </c>
      <c r="G8">
        <v>2</v>
      </c>
    </row>
    <row r="9" spans="1:7" x14ac:dyDescent="0.15">
      <c r="A9" s="2" t="s">
        <v>25</v>
      </c>
      <c r="B9">
        <v>3</v>
      </c>
    </row>
    <row r="10" spans="1:7" x14ac:dyDescent="0.15">
      <c r="A10" s="3" t="s">
        <v>35</v>
      </c>
      <c r="B10">
        <v>4</v>
      </c>
    </row>
    <row r="11" spans="1:7" x14ac:dyDescent="0.15">
      <c r="A11" s="8" t="s">
        <v>65</v>
      </c>
      <c r="B11">
        <v>5</v>
      </c>
    </row>
    <row r="12" spans="1:7" x14ac:dyDescent="0.15">
      <c r="A12" s="5" t="s">
        <v>146</v>
      </c>
    </row>
    <row r="13" spans="1:7" x14ac:dyDescent="0.15">
      <c r="A13" s="8" t="s">
        <v>147</v>
      </c>
    </row>
    <row r="14" spans="1:7" x14ac:dyDescent="0.15">
      <c r="A14" s="3" t="s">
        <v>27</v>
      </c>
      <c r="B14">
        <v>6</v>
      </c>
    </row>
    <row r="15" spans="1:7" x14ac:dyDescent="0.15">
      <c r="A15" s="5" t="s">
        <v>79</v>
      </c>
      <c r="B15">
        <v>7</v>
      </c>
    </row>
    <row r="16" spans="1:7" x14ac:dyDescent="0.15">
      <c r="A16" t="s">
        <v>100</v>
      </c>
      <c r="B16">
        <v>8</v>
      </c>
    </row>
    <row r="17" spans="1:2" x14ac:dyDescent="0.15">
      <c r="A17" t="s">
        <v>45</v>
      </c>
      <c r="B17">
        <v>9</v>
      </c>
    </row>
    <row r="18" spans="1:2" x14ac:dyDescent="0.15">
      <c r="A18" t="s">
        <v>134</v>
      </c>
      <c r="B18">
        <v>10</v>
      </c>
    </row>
    <row r="19" spans="1:2" x14ac:dyDescent="0.15">
      <c r="A19" s="4" t="s">
        <v>153</v>
      </c>
      <c r="B19">
        <v>11</v>
      </c>
    </row>
    <row r="20" spans="1:2" x14ac:dyDescent="0.15">
      <c r="B20">
        <v>12</v>
      </c>
    </row>
    <row r="21" spans="1:2" x14ac:dyDescent="0.15">
      <c r="B21">
        <v>13</v>
      </c>
    </row>
    <row r="22" spans="1:2" x14ac:dyDescent="0.15">
      <c r="B22">
        <v>14</v>
      </c>
    </row>
    <row r="23" spans="1:2" x14ac:dyDescent="0.15">
      <c r="B23">
        <v>15</v>
      </c>
    </row>
    <row r="24" spans="1:2" x14ac:dyDescent="0.15">
      <c r="B24">
        <v>16</v>
      </c>
    </row>
    <row r="25" spans="1:2" x14ac:dyDescent="0.15">
      <c r="B25">
        <v>17</v>
      </c>
    </row>
    <row r="26" spans="1:2" x14ac:dyDescent="0.15">
      <c r="B26">
        <v>18</v>
      </c>
    </row>
    <row r="27" spans="1:2" x14ac:dyDescent="0.15">
      <c r="B27">
        <v>19</v>
      </c>
    </row>
    <row r="28" spans="1:2" x14ac:dyDescent="0.15">
      <c r="B28">
        <v>20</v>
      </c>
    </row>
    <row r="29" spans="1:2" x14ac:dyDescent="0.15">
      <c r="B29">
        <v>21</v>
      </c>
    </row>
    <row r="30" spans="1:2" x14ac:dyDescent="0.15">
      <c r="B30">
        <v>22</v>
      </c>
    </row>
    <row r="31" spans="1:2" x14ac:dyDescent="0.15">
      <c r="B31">
        <v>23</v>
      </c>
    </row>
    <row r="32" spans="1:2" x14ac:dyDescent="0.15">
      <c r="B32">
        <v>24</v>
      </c>
    </row>
    <row r="33" spans="2:2" x14ac:dyDescent="0.15">
      <c r="B33">
        <v>25</v>
      </c>
    </row>
    <row r="34" spans="2:2" x14ac:dyDescent="0.15">
      <c r="B34">
        <v>26</v>
      </c>
    </row>
    <row r="35" spans="2:2" x14ac:dyDescent="0.15">
      <c r="B35">
        <v>27</v>
      </c>
    </row>
    <row r="36" spans="2:2" x14ac:dyDescent="0.15">
      <c r="B36">
        <v>28</v>
      </c>
    </row>
    <row r="37" spans="2:2" x14ac:dyDescent="0.15">
      <c r="B37">
        <v>29</v>
      </c>
    </row>
    <row r="38" spans="2:2" x14ac:dyDescent="0.15">
      <c r="B38">
        <v>30</v>
      </c>
    </row>
    <row r="39" spans="2:2" x14ac:dyDescent="0.15">
      <c r="B39">
        <v>31</v>
      </c>
    </row>
    <row r="40" spans="2:2" x14ac:dyDescent="0.15">
      <c r="B40">
        <v>32</v>
      </c>
    </row>
    <row r="41" spans="2:2" x14ac:dyDescent="0.15">
      <c r="B41">
        <v>33</v>
      </c>
    </row>
    <row r="42" spans="2:2" x14ac:dyDescent="0.15">
      <c r="B42">
        <v>34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B47"/>
  <sheetViews>
    <sheetView zoomScale="85" zoomScaleNormal="85" workbookViewId="0">
      <selection activeCell="A11" sqref="A11"/>
    </sheetView>
  </sheetViews>
  <sheetFormatPr defaultRowHeight="13.5" x14ac:dyDescent="0.15"/>
  <cols>
    <col min="2" max="2" width="15" bestFit="1" customWidth="1"/>
    <col min="3" max="3" width="53.875" bestFit="1" customWidth="1"/>
    <col min="8" max="8" width="12.75" bestFit="1" customWidth="1"/>
    <col min="9" max="9" width="50.5" bestFit="1" customWidth="1"/>
    <col min="10" max="10" width="13.875" bestFit="1" customWidth="1"/>
    <col min="11" max="11" width="43.875" bestFit="1" customWidth="1"/>
    <col min="12" max="12" width="12.75" bestFit="1" customWidth="1"/>
    <col min="13" max="13" width="16.125" bestFit="1" customWidth="1"/>
    <col min="14" max="14" width="12.75" bestFit="1" customWidth="1"/>
    <col min="15" max="15" width="48.25" bestFit="1" customWidth="1"/>
    <col min="16" max="16" width="21.625" bestFit="1" customWidth="1"/>
    <col min="17" max="17" width="33.875" bestFit="1" customWidth="1"/>
    <col min="19" max="19" width="15.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1" si="0">H1</f>
        <v>Data_Type</v>
      </c>
      <c r="W1" s="11" t="str">
        <f t="shared" si="0"/>
        <v>Flag</v>
      </c>
      <c r="X1" s="11" t="str">
        <f t="shared" ref="X1" si="1">O1</f>
        <v>Fuzhu_Para3</v>
      </c>
      <c r="Y1" s="39" t="s">
        <v>17</v>
      </c>
      <c r="Z1" s="11" t="str">
        <f t="shared" ref="Z1" si="2">B1</f>
        <v>TYPE</v>
      </c>
      <c r="AA1" s="11" t="str">
        <f t="shared" ref="AA1" si="3">M:M</f>
        <v>SpecifyTypeNum</v>
      </c>
      <c r="AB1" s="11" t="str">
        <f>AB2</f>
        <v>GuiF</v>
      </c>
    </row>
    <row r="2" spans="1:28" s="13" customFormat="1" x14ac:dyDescent="0.15">
      <c r="A2" s="47">
        <v>1</v>
      </c>
      <c r="B2" s="47" t="s">
        <v>18</v>
      </c>
      <c r="C2" s="56" t="s">
        <v>97</v>
      </c>
      <c r="D2" s="47">
        <v>0</v>
      </c>
      <c r="E2" s="47">
        <v>0</v>
      </c>
      <c r="F2" s="47">
        <v>1</v>
      </c>
      <c r="G2" s="47">
        <v>1</v>
      </c>
      <c r="H2" s="47" t="s">
        <v>19</v>
      </c>
      <c r="I2" s="47" t="s">
        <v>88</v>
      </c>
      <c r="J2" s="47" t="s">
        <v>21</v>
      </c>
      <c r="K2" s="47" t="s">
        <v>19</v>
      </c>
      <c r="L2" s="48" t="s">
        <v>41</v>
      </c>
      <c r="M2" s="47">
        <v>1</v>
      </c>
      <c r="N2" s="47" t="s">
        <v>19</v>
      </c>
      <c r="O2" s="47" t="s">
        <v>19</v>
      </c>
      <c r="P2" s="47" t="s">
        <v>19</v>
      </c>
      <c r="Q2" s="47" t="s">
        <v>19</v>
      </c>
      <c r="R2" s="47"/>
      <c r="S2" s="40" t="str">
        <f>B2&amp;M2</f>
        <v>Qlabel1</v>
      </c>
      <c r="T2" s="40">
        <f>IF(COUNTIF(S:S,S2)&gt;1,0,1)</f>
        <v>1</v>
      </c>
      <c r="V2" s="11" t="str">
        <f t="shared" ref="V2:V4" si="4">H2</f>
        <v>NULL</v>
      </c>
      <c r="W2" s="11" t="str">
        <f t="shared" ref="W2:W4" si="5">I2</f>
        <v>AlignLeft</v>
      </c>
      <c r="X2" s="11" t="str">
        <f t="shared" ref="X2:X4" si="6">O2</f>
        <v>NULL</v>
      </c>
      <c r="Y2" s="13">
        <v>0</v>
      </c>
      <c r="Z2" s="11" t="str">
        <f t="shared" ref="Z2:Z4" si="7">B2</f>
        <v>Qlabel</v>
      </c>
      <c r="AA2" s="11">
        <f t="shared" ref="AA2:AA19" si="8">M:M</f>
        <v>1</v>
      </c>
      <c r="AB2" s="11" t="str">
        <f t="shared" ref="AB2:AB4" si="9">L2</f>
        <v>GuiF</v>
      </c>
    </row>
    <row r="3" spans="1:28" s="13" customFormat="1" x14ac:dyDescent="0.15">
      <c r="A3" s="47">
        <f t="shared" ref="A3:A47" si="10">A2+1</f>
        <v>2</v>
      </c>
      <c r="B3" s="47" t="s">
        <v>22</v>
      </c>
      <c r="C3" s="47" t="s">
        <v>23</v>
      </c>
      <c r="D3" s="47">
        <f t="shared" ref="D3" si="11">D2</f>
        <v>0</v>
      </c>
      <c r="E3" s="47">
        <f t="shared" ref="E3" si="12">E2+1</f>
        <v>1</v>
      </c>
      <c r="F3" s="47">
        <v>1</v>
      </c>
      <c r="G3" s="47">
        <v>5</v>
      </c>
      <c r="H3" s="56" t="s">
        <v>51</v>
      </c>
      <c r="I3" s="47">
        <v>100</v>
      </c>
      <c r="J3" s="47" t="s">
        <v>19</v>
      </c>
      <c r="K3" s="47" t="s">
        <v>19</v>
      </c>
      <c r="L3" s="49" t="str">
        <f t="shared" ref="L3:M3" si="13">L2</f>
        <v>GuiF</v>
      </c>
      <c r="M3" s="47">
        <f t="shared" si="13"/>
        <v>1</v>
      </c>
      <c r="N3" s="47" t="s">
        <v>19</v>
      </c>
      <c r="O3" s="47" t="str">
        <f>C2</f>
        <v>Select Ncode directory</v>
      </c>
      <c r="P3" s="47" t="s">
        <v>19</v>
      </c>
      <c r="Q3" s="47" t="s">
        <v>19</v>
      </c>
      <c r="R3" s="47"/>
      <c r="S3" s="40" t="str">
        <f t="shared" ref="S3:S7" si="14">B3&amp;M3</f>
        <v>QLineEdit1</v>
      </c>
      <c r="T3" s="40">
        <f t="shared" ref="T3:T47" si="15">IF(COUNTIF(S:S,S3)&gt;1,0,1)</f>
        <v>1</v>
      </c>
      <c r="V3" s="11" t="str">
        <f t="shared" si="4"/>
        <v>NcodePara</v>
      </c>
      <c r="W3" s="11">
        <f t="shared" si="5"/>
        <v>100</v>
      </c>
      <c r="X3" s="11" t="str">
        <f t="shared" si="6"/>
        <v>Select Ncode directory</v>
      </c>
      <c r="Y3" s="13">
        <v>0</v>
      </c>
      <c r="Z3" s="11" t="str">
        <f t="shared" si="7"/>
        <v>QLineEdit</v>
      </c>
      <c r="AA3" s="11">
        <f t="shared" si="8"/>
        <v>1</v>
      </c>
      <c r="AB3" s="11" t="str">
        <f t="shared" si="9"/>
        <v>GuiF</v>
      </c>
    </row>
    <row r="4" spans="1:28" s="13" customFormat="1" x14ac:dyDescent="0.15">
      <c r="A4" s="47">
        <f t="shared" si="10"/>
        <v>3</v>
      </c>
      <c r="B4" s="47" t="s">
        <v>24</v>
      </c>
      <c r="C4" s="56" t="s">
        <v>64</v>
      </c>
      <c r="D4" s="47">
        <v>0</v>
      </c>
      <c r="E4" s="47">
        <v>6</v>
      </c>
      <c r="F4" s="47">
        <v>1</v>
      </c>
      <c r="G4" s="47">
        <v>1</v>
      </c>
      <c r="H4" s="47" t="s">
        <v>19</v>
      </c>
      <c r="I4" s="47" t="s">
        <v>19</v>
      </c>
      <c r="J4" s="47" t="s">
        <v>19</v>
      </c>
      <c r="K4" s="47" t="s">
        <v>66</v>
      </c>
      <c r="L4" s="49" t="str">
        <f t="shared" ref="L4" si="16">L3</f>
        <v>GuiF</v>
      </c>
      <c r="M4" s="47">
        <f>M3</f>
        <v>1</v>
      </c>
      <c r="N4" s="47" t="s">
        <v>19</v>
      </c>
      <c r="O4" s="47" t="s">
        <v>19</v>
      </c>
      <c r="P4" s="47" t="s">
        <v>19</v>
      </c>
      <c r="Q4" s="47" t="s">
        <v>19</v>
      </c>
      <c r="R4" s="47"/>
      <c r="S4" s="40" t="str">
        <f t="shared" si="14"/>
        <v>QPushButton1</v>
      </c>
      <c r="T4" s="40">
        <f t="shared" si="15"/>
        <v>1</v>
      </c>
      <c r="V4" s="11" t="str">
        <f t="shared" si="4"/>
        <v>NULL</v>
      </c>
      <c r="W4" s="11" t="str">
        <f t="shared" si="5"/>
        <v>NULL</v>
      </c>
      <c r="X4" s="11" t="str">
        <f t="shared" si="6"/>
        <v>NULL</v>
      </c>
      <c r="Y4" s="13">
        <v>0</v>
      </c>
      <c r="Z4" s="11" t="str">
        <f t="shared" si="7"/>
        <v>QPushButton</v>
      </c>
      <c r="AA4" s="11">
        <f t="shared" si="8"/>
        <v>1</v>
      </c>
      <c r="AB4" s="11" t="str">
        <f t="shared" si="9"/>
        <v>GuiF</v>
      </c>
    </row>
    <row r="5" spans="1:28" s="13" customFormat="1" x14ac:dyDescent="0.15">
      <c r="A5" s="47">
        <f t="shared" si="10"/>
        <v>4</v>
      </c>
      <c r="B5" s="47" t="s">
        <v>18</v>
      </c>
      <c r="C5" s="56" t="s">
        <v>50</v>
      </c>
      <c r="D5" s="47">
        <v>1</v>
      </c>
      <c r="E5" s="47">
        <v>0</v>
      </c>
      <c r="F5" s="47">
        <v>1</v>
      </c>
      <c r="G5" s="47">
        <v>1</v>
      </c>
      <c r="H5" s="47" t="s">
        <v>19</v>
      </c>
      <c r="I5" s="47" t="s">
        <v>88</v>
      </c>
      <c r="J5" s="47" t="s">
        <v>21</v>
      </c>
      <c r="K5" s="47" t="s">
        <v>19</v>
      </c>
      <c r="L5" s="48" t="s">
        <v>41</v>
      </c>
      <c r="M5" s="47">
        <v>2</v>
      </c>
      <c r="N5" s="47" t="s">
        <v>19</v>
      </c>
      <c r="O5" s="47" t="s">
        <v>19</v>
      </c>
      <c r="P5" s="47" t="s">
        <v>19</v>
      </c>
      <c r="Q5" s="47" t="s">
        <v>19</v>
      </c>
      <c r="R5" s="47"/>
      <c r="S5" s="40" t="str">
        <f t="shared" si="14"/>
        <v>Qlabel2</v>
      </c>
      <c r="T5" s="40">
        <f t="shared" si="15"/>
        <v>1</v>
      </c>
      <c r="V5" s="11" t="str">
        <f t="shared" ref="V5:W7" si="17">H5</f>
        <v>NULL</v>
      </c>
      <c r="W5" s="11" t="str">
        <f t="shared" si="17"/>
        <v>AlignLeft</v>
      </c>
      <c r="X5" s="11" t="str">
        <f t="shared" ref="X5:X13" si="18">O5</f>
        <v>NULL</v>
      </c>
      <c r="Y5" s="13">
        <v>0</v>
      </c>
      <c r="Z5" s="11" t="str">
        <f t="shared" ref="Z5:Z13" si="19">B5</f>
        <v>Qlabel</v>
      </c>
      <c r="AA5" s="11">
        <f t="shared" si="8"/>
        <v>2</v>
      </c>
      <c r="AB5" s="11" t="str">
        <f t="shared" ref="AB5:AB13" si="20">L5</f>
        <v>GuiF</v>
      </c>
    </row>
    <row r="6" spans="1:28" s="13" customFormat="1" x14ac:dyDescent="0.15">
      <c r="A6" s="47">
        <f t="shared" si="10"/>
        <v>5</v>
      </c>
      <c r="B6" s="47" t="s">
        <v>22</v>
      </c>
      <c r="C6" s="47" t="s">
        <v>23</v>
      </c>
      <c r="D6" s="47">
        <v>1</v>
      </c>
      <c r="E6" s="47">
        <f t="shared" ref="E6" si="21">E5+1</f>
        <v>1</v>
      </c>
      <c r="F6" s="47">
        <v>1</v>
      </c>
      <c r="G6" s="47">
        <v>5</v>
      </c>
      <c r="H6" s="56" t="s">
        <v>51</v>
      </c>
      <c r="I6" s="47">
        <v>101</v>
      </c>
      <c r="J6" s="47" t="s">
        <v>19</v>
      </c>
      <c r="K6" s="47" t="s">
        <v>19</v>
      </c>
      <c r="L6" s="49" t="str">
        <f t="shared" ref="L6:M7" si="22">L5</f>
        <v>GuiF</v>
      </c>
      <c r="M6" s="47">
        <f t="shared" si="22"/>
        <v>2</v>
      </c>
      <c r="N6" s="47" t="s">
        <v>19</v>
      </c>
      <c r="O6" s="47" t="str">
        <f>C5</f>
        <v>Select *.rst file</v>
      </c>
      <c r="P6" s="47" t="s">
        <v>19</v>
      </c>
      <c r="Q6" s="47" t="s">
        <v>19</v>
      </c>
      <c r="R6" s="47"/>
      <c r="S6" s="40" t="str">
        <f t="shared" si="14"/>
        <v>QLineEdit2</v>
      </c>
      <c r="T6" s="40">
        <f t="shared" si="15"/>
        <v>1</v>
      </c>
      <c r="V6" s="11" t="str">
        <f t="shared" si="17"/>
        <v>NcodePara</v>
      </c>
      <c r="W6" s="11">
        <f t="shared" si="17"/>
        <v>101</v>
      </c>
      <c r="X6" s="11" t="str">
        <f t="shared" si="18"/>
        <v>Select *.rst file</v>
      </c>
      <c r="Y6" s="13">
        <v>0</v>
      </c>
      <c r="Z6" s="11" t="str">
        <f t="shared" si="19"/>
        <v>QLineEdit</v>
      </c>
      <c r="AA6" s="11">
        <f t="shared" si="8"/>
        <v>2</v>
      </c>
      <c r="AB6" s="11" t="str">
        <f t="shared" si="20"/>
        <v>GuiF</v>
      </c>
    </row>
    <row r="7" spans="1:28" s="13" customFormat="1" x14ac:dyDescent="0.15">
      <c r="A7" s="47">
        <f t="shared" si="10"/>
        <v>6</v>
      </c>
      <c r="B7" s="47" t="s">
        <v>24</v>
      </c>
      <c r="C7" s="56" t="s">
        <v>64</v>
      </c>
      <c r="D7" s="47">
        <v>1</v>
      </c>
      <c r="E7" s="47">
        <v>6</v>
      </c>
      <c r="F7" s="47">
        <v>1</v>
      </c>
      <c r="G7" s="47">
        <v>1</v>
      </c>
      <c r="H7" s="47" t="s">
        <v>19</v>
      </c>
      <c r="I7" s="47" t="s">
        <v>19</v>
      </c>
      <c r="J7" s="47" t="s">
        <v>19</v>
      </c>
      <c r="K7" s="56" t="s">
        <v>66</v>
      </c>
      <c r="L7" s="49" t="str">
        <f t="shared" si="22"/>
        <v>GuiF</v>
      </c>
      <c r="M7" s="47">
        <f>M6</f>
        <v>2</v>
      </c>
      <c r="N7" s="47" t="s">
        <v>19</v>
      </c>
      <c r="O7" s="47" t="s">
        <v>19</v>
      </c>
      <c r="P7" s="47" t="s">
        <v>19</v>
      </c>
      <c r="Q7" s="47" t="s">
        <v>19</v>
      </c>
      <c r="R7" s="47"/>
      <c r="S7" s="40" t="str">
        <f t="shared" si="14"/>
        <v>QPushButton2</v>
      </c>
      <c r="T7" s="40">
        <f t="shared" si="15"/>
        <v>1</v>
      </c>
      <c r="V7" s="11" t="str">
        <f t="shared" si="17"/>
        <v>NULL</v>
      </c>
      <c r="W7" s="11" t="str">
        <f t="shared" si="17"/>
        <v>NULL</v>
      </c>
      <c r="X7" s="11" t="str">
        <f t="shared" si="18"/>
        <v>NULL</v>
      </c>
      <c r="Y7" s="13">
        <v>0</v>
      </c>
      <c r="Z7" s="11" t="str">
        <f t="shared" si="19"/>
        <v>QPushButton</v>
      </c>
      <c r="AA7" s="11">
        <f t="shared" si="8"/>
        <v>2</v>
      </c>
      <c r="AB7" s="11" t="str">
        <f t="shared" si="20"/>
        <v>GuiF</v>
      </c>
    </row>
    <row r="8" spans="1:28" s="13" customFormat="1" x14ac:dyDescent="0.15">
      <c r="A8" s="47">
        <f t="shared" si="10"/>
        <v>7</v>
      </c>
      <c r="B8" s="47" t="s">
        <v>18</v>
      </c>
      <c r="C8" s="56" t="s">
        <v>55</v>
      </c>
      <c r="D8" s="47">
        <v>2</v>
      </c>
      <c r="E8" s="47">
        <v>0</v>
      </c>
      <c r="F8" s="47">
        <v>1</v>
      </c>
      <c r="G8" s="47">
        <v>1</v>
      </c>
      <c r="H8" s="47" t="s">
        <v>19</v>
      </c>
      <c r="I8" s="47" t="s">
        <v>88</v>
      </c>
      <c r="J8" s="47" t="s">
        <v>21</v>
      </c>
      <c r="K8" s="47" t="s">
        <v>19</v>
      </c>
      <c r="L8" s="48" t="s">
        <v>41</v>
      </c>
      <c r="M8" s="47">
        <v>3</v>
      </c>
      <c r="N8" s="47" t="s">
        <v>19</v>
      </c>
      <c r="O8" s="47" t="s">
        <v>19</v>
      </c>
      <c r="P8" s="47" t="s">
        <v>19</v>
      </c>
      <c r="Q8" s="47" t="s">
        <v>19</v>
      </c>
      <c r="R8" s="47"/>
      <c r="S8" s="40" t="str">
        <f t="shared" ref="S8:S31" si="23">B8&amp;M8</f>
        <v>Qlabel3</v>
      </c>
      <c r="T8" s="40">
        <f t="shared" si="15"/>
        <v>1</v>
      </c>
      <c r="V8" s="11" t="str">
        <f t="shared" ref="V8:V10" si="24">H8</f>
        <v>NULL</v>
      </c>
      <c r="W8" s="11" t="str">
        <f t="shared" ref="W8:W10" si="25">I8</f>
        <v>AlignLeft</v>
      </c>
      <c r="X8" s="11" t="str">
        <f t="shared" ref="X8:X10" si="26">O8</f>
        <v>NULL</v>
      </c>
      <c r="Y8" s="13">
        <v>0</v>
      </c>
      <c r="Z8" s="11" t="str">
        <f t="shared" ref="Z8:Z10" si="27">B8</f>
        <v>Qlabel</v>
      </c>
      <c r="AA8" s="11">
        <f t="shared" si="8"/>
        <v>3</v>
      </c>
      <c r="AB8" s="11" t="str">
        <f t="shared" ref="AB8:AB10" si="28">L8</f>
        <v>GuiF</v>
      </c>
    </row>
    <row r="9" spans="1:28" s="13" customFormat="1" x14ac:dyDescent="0.15">
      <c r="A9" s="47">
        <f t="shared" si="10"/>
        <v>8</v>
      </c>
      <c r="B9" s="47" t="s">
        <v>22</v>
      </c>
      <c r="C9" s="47" t="s">
        <v>23</v>
      </c>
      <c r="D9" s="47">
        <v>2</v>
      </c>
      <c r="E9" s="47">
        <f t="shared" ref="E9" si="29">E8+1</f>
        <v>1</v>
      </c>
      <c r="F9" s="47">
        <v>1</v>
      </c>
      <c r="G9" s="47">
        <v>5</v>
      </c>
      <c r="H9" s="56" t="s">
        <v>51</v>
      </c>
      <c r="I9" s="47">
        <v>102</v>
      </c>
      <c r="J9" s="47" t="s">
        <v>19</v>
      </c>
      <c r="K9" s="47" t="s">
        <v>19</v>
      </c>
      <c r="L9" s="48" t="s">
        <v>41</v>
      </c>
      <c r="M9" s="47">
        <f t="shared" ref="M9" si="30">M8</f>
        <v>3</v>
      </c>
      <c r="N9" s="47" t="s">
        <v>19</v>
      </c>
      <c r="O9" s="47" t="str">
        <f>C8</f>
        <v>Select timeseries *.txt file</v>
      </c>
      <c r="P9" s="47" t="s">
        <v>19</v>
      </c>
      <c r="Q9" s="47" t="s">
        <v>19</v>
      </c>
      <c r="R9" s="47"/>
      <c r="S9" s="40" t="str">
        <f t="shared" si="23"/>
        <v>QLineEdit3</v>
      </c>
      <c r="T9" s="40">
        <f t="shared" si="15"/>
        <v>1</v>
      </c>
      <c r="V9" s="11" t="str">
        <f t="shared" si="24"/>
        <v>NcodePara</v>
      </c>
      <c r="W9" s="11">
        <f t="shared" si="25"/>
        <v>102</v>
      </c>
      <c r="X9" s="11" t="str">
        <f t="shared" si="26"/>
        <v>Select timeseries *.txt file</v>
      </c>
      <c r="Y9" s="13">
        <v>0</v>
      </c>
      <c r="Z9" s="11" t="str">
        <f t="shared" si="27"/>
        <v>QLineEdit</v>
      </c>
      <c r="AA9" s="11">
        <f t="shared" si="8"/>
        <v>3</v>
      </c>
      <c r="AB9" s="11" t="str">
        <f t="shared" si="28"/>
        <v>GuiF</v>
      </c>
    </row>
    <row r="10" spans="1:28" s="13" customFormat="1" x14ac:dyDescent="0.15">
      <c r="A10" s="47">
        <f t="shared" si="10"/>
        <v>9</v>
      </c>
      <c r="B10" s="47" t="s">
        <v>24</v>
      </c>
      <c r="C10" s="56" t="s">
        <v>64</v>
      </c>
      <c r="D10" s="47">
        <v>2</v>
      </c>
      <c r="E10" s="47">
        <v>6</v>
      </c>
      <c r="F10" s="47">
        <v>1</v>
      </c>
      <c r="G10" s="47">
        <v>1</v>
      </c>
      <c r="H10" s="47" t="s">
        <v>19</v>
      </c>
      <c r="I10" s="47" t="s">
        <v>19</v>
      </c>
      <c r="J10" s="47" t="s">
        <v>19</v>
      </c>
      <c r="K10" s="56" t="s">
        <v>67</v>
      </c>
      <c r="L10" s="48" t="s">
        <v>41</v>
      </c>
      <c r="M10" s="47">
        <f>M9</f>
        <v>3</v>
      </c>
      <c r="N10" s="47" t="s">
        <v>19</v>
      </c>
      <c r="O10" s="47" t="s">
        <v>19</v>
      </c>
      <c r="P10" s="47" t="s">
        <v>19</v>
      </c>
      <c r="Q10" s="47" t="s">
        <v>19</v>
      </c>
      <c r="R10" s="47"/>
      <c r="S10" s="40" t="str">
        <f t="shared" si="23"/>
        <v>QPushButton3</v>
      </c>
      <c r="T10" s="40">
        <f t="shared" si="15"/>
        <v>1</v>
      </c>
      <c r="V10" s="11" t="str">
        <f t="shared" si="24"/>
        <v>NULL</v>
      </c>
      <c r="W10" s="11" t="str">
        <f t="shared" si="25"/>
        <v>NULL</v>
      </c>
      <c r="X10" s="11" t="str">
        <f t="shared" si="26"/>
        <v>NULL</v>
      </c>
      <c r="Y10" s="13">
        <v>0</v>
      </c>
      <c r="Z10" s="11" t="str">
        <f t="shared" si="27"/>
        <v>QPushButton</v>
      </c>
      <c r="AA10" s="11">
        <f t="shared" si="8"/>
        <v>3</v>
      </c>
      <c r="AB10" s="11" t="str">
        <f t="shared" si="28"/>
        <v>GuiF</v>
      </c>
    </row>
    <row r="11" spans="1:28" s="11" customFormat="1" x14ac:dyDescent="0.15">
      <c r="A11" s="61">
        <f t="shared" si="10"/>
        <v>10</v>
      </c>
      <c r="B11" s="27" t="s">
        <v>18</v>
      </c>
      <c r="C11" s="62" t="s">
        <v>52</v>
      </c>
      <c r="D11" s="27">
        <v>0</v>
      </c>
      <c r="E11" s="27">
        <v>0</v>
      </c>
      <c r="F11" s="27">
        <v>1</v>
      </c>
      <c r="G11" s="27">
        <v>1</v>
      </c>
      <c r="H11" s="27" t="s">
        <v>19</v>
      </c>
      <c r="I11" s="27" t="s">
        <v>20</v>
      </c>
      <c r="J11" s="27" t="s">
        <v>21</v>
      </c>
      <c r="K11" s="27" t="s">
        <v>19</v>
      </c>
      <c r="L11" s="62" t="s">
        <v>41</v>
      </c>
      <c r="M11" s="27">
        <v>4</v>
      </c>
      <c r="N11" s="27" t="s">
        <v>19</v>
      </c>
      <c r="O11" s="27" t="s">
        <v>19</v>
      </c>
      <c r="P11" s="27" t="s">
        <v>19</v>
      </c>
      <c r="Q11" s="27" t="s">
        <v>19</v>
      </c>
      <c r="R11" s="27"/>
      <c r="S11" s="40" t="str">
        <f t="shared" si="23"/>
        <v>Qlabel4</v>
      </c>
      <c r="T11" s="40">
        <f t="shared" si="15"/>
        <v>1</v>
      </c>
      <c r="V11" s="11" t="str">
        <f t="shared" ref="V11:W13" si="31">H11</f>
        <v>NULL</v>
      </c>
      <c r="W11" s="11" t="str">
        <f t="shared" si="31"/>
        <v>AlignRight</v>
      </c>
      <c r="X11" s="11" t="str">
        <f t="shared" si="18"/>
        <v>NULL</v>
      </c>
      <c r="Y11" s="11">
        <v>11</v>
      </c>
      <c r="Z11" s="11" t="str">
        <f t="shared" si="19"/>
        <v>Qlabel</v>
      </c>
      <c r="AA11" s="11">
        <f t="shared" si="8"/>
        <v>4</v>
      </c>
      <c r="AB11" s="11" t="str">
        <f t="shared" si="20"/>
        <v>GuiF</v>
      </c>
    </row>
    <row r="12" spans="1:28" s="11" customFormat="1" x14ac:dyDescent="0.15">
      <c r="A12" s="61">
        <f t="shared" si="10"/>
        <v>11</v>
      </c>
      <c r="B12" s="27" t="s">
        <v>28</v>
      </c>
      <c r="C12" s="27" t="s">
        <v>26</v>
      </c>
      <c r="D12" s="27">
        <v>0</v>
      </c>
      <c r="E12" s="27">
        <v>1</v>
      </c>
      <c r="F12" s="27">
        <v>1</v>
      </c>
      <c r="G12" s="27">
        <v>2</v>
      </c>
      <c r="H12" s="62" t="s">
        <v>54</v>
      </c>
      <c r="I12" s="27">
        <v>100</v>
      </c>
      <c r="J12" s="27" t="s">
        <v>26</v>
      </c>
      <c r="K12" s="62" t="s">
        <v>53</v>
      </c>
      <c r="L12" s="62" t="s">
        <v>41</v>
      </c>
      <c r="M12" s="27">
        <f>M11</f>
        <v>4</v>
      </c>
      <c r="N12" s="27" t="s">
        <v>19</v>
      </c>
      <c r="O12" s="27" t="s">
        <v>29</v>
      </c>
      <c r="P12" s="27" t="s">
        <v>19</v>
      </c>
      <c r="Q12" s="27" t="s">
        <v>19</v>
      </c>
      <c r="R12" s="27"/>
      <c r="S12" s="40" t="str">
        <f t="shared" si="23"/>
        <v>QComboBox4</v>
      </c>
      <c r="T12" s="40">
        <f t="shared" si="15"/>
        <v>1</v>
      </c>
      <c r="V12" s="11" t="str">
        <f t="shared" si="31"/>
        <v>NcodeMatNum</v>
      </c>
      <c r="W12" s="11">
        <f t="shared" si="31"/>
        <v>100</v>
      </c>
      <c r="X12" s="11" t="str">
        <f t="shared" si="18"/>
        <v>HUBMat</v>
      </c>
      <c r="Y12" s="11">
        <v>12</v>
      </c>
      <c r="Z12" s="11" t="str">
        <f t="shared" si="19"/>
        <v>QComboBox</v>
      </c>
      <c r="AA12" s="11">
        <f t="shared" si="8"/>
        <v>4</v>
      </c>
      <c r="AB12" s="11" t="str">
        <f t="shared" si="20"/>
        <v>GuiF</v>
      </c>
    </row>
    <row r="13" spans="1:28" s="11" customFormat="1" x14ac:dyDescent="0.15">
      <c r="A13" s="61">
        <f t="shared" si="10"/>
        <v>12</v>
      </c>
      <c r="B13" s="27" t="s">
        <v>30</v>
      </c>
      <c r="C13" s="27" t="s">
        <v>19</v>
      </c>
      <c r="D13" s="27">
        <v>0</v>
      </c>
      <c r="E13" s="27">
        <v>3</v>
      </c>
      <c r="F13" s="27">
        <v>1</v>
      </c>
      <c r="G13" s="27">
        <v>4</v>
      </c>
      <c r="H13" s="27" t="s">
        <v>26</v>
      </c>
      <c r="I13" s="27" t="s">
        <v>26</v>
      </c>
      <c r="J13" s="27" t="s">
        <v>26</v>
      </c>
      <c r="K13" s="27" t="s">
        <v>26</v>
      </c>
      <c r="L13" s="62" t="s">
        <v>41</v>
      </c>
      <c r="M13" s="27">
        <f>M12</f>
        <v>4</v>
      </c>
      <c r="N13" s="27" t="s">
        <v>26</v>
      </c>
      <c r="O13" s="27" t="s">
        <v>26</v>
      </c>
      <c r="P13" s="27" t="s">
        <v>26</v>
      </c>
      <c r="Q13" s="27" t="s">
        <v>26</v>
      </c>
      <c r="R13" s="27"/>
      <c r="S13" s="40" t="str">
        <f t="shared" si="23"/>
        <v>QSpacerItem4</v>
      </c>
      <c r="T13" s="40">
        <f t="shared" si="15"/>
        <v>1</v>
      </c>
      <c r="V13" s="11" t="str">
        <f t="shared" si="31"/>
        <v>Null</v>
      </c>
      <c r="W13" s="11" t="str">
        <f t="shared" si="31"/>
        <v>Null</v>
      </c>
      <c r="X13" s="11" t="str">
        <f t="shared" si="18"/>
        <v>Null</v>
      </c>
      <c r="Y13" s="11">
        <v>13</v>
      </c>
      <c r="Z13" s="11" t="str">
        <f t="shared" si="19"/>
        <v>QSpacerItem</v>
      </c>
      <c r="AA13" s="11">
        <f t="shared" si="8"/>
        <v>4</v>
      </c>
      <c r="AB13" s="11" t="str">
        <f t="shared" si="20"/>
        <v>GuiF</v>
      </c>
    </row>
    <row r="14" spans="1:28" s="11" customFormat="1" x14ac:dyDescent="0.15">
      <c r="A14" s="35">
        <f t="shared" si="10"/>
        <v>13</v>
      </c>
      <c r="B14" s="29" t="s">
        <v>36</v>
      </c>
      <c r="C14" s="29" t="s">
        <v>19</v>
      </c>
      <c r="D14" s="29">
        <v>0</v>
      </c>
      <c r="E14" s="29">
        <v>0</v>
      </c>
      <c r="F14" s="29">
        <v>10</v>
      </c>
      <c r="G14" s="29">
        <v>4</v>
      </c>
      <c r="H14" s="29" t="s">
        <v>26</v>
      </c>
      <c r="I14" s="29" t="s">
        <v>37</v>
      </c>
      <c r="J14" s="29">
        <v>0</v>
      </c>
      <c r="K14" s="43" t="s">
        <v>38</v>
      </c>
      <c r="L14" s="43" t="s">
        <v>41</v>
      </c>
      <c r="M14" s="29">
        <v>1</v>
      </c>
      <c r="N14" s="29">
        <v>1</v>
      </c>
      <c r="O14" s="43" t="s">
        <v>42</v>
      </c>
      <c r="P14" s="29" t="s">
        <v>19</v>
      </c>
      <c r="Q14" s="57" t="s">
        <v>61</v>
      </c>
      <c r="R14" s="29"/>
      <c r="S14" s="40" t="str">
        <f t="shared" si="23"/>
        <v>QTableWidget1</v>
      </c>
      <c r="T14" s="40">
        <f t="shared" si="15"/>
        <v>1</v>
      </c>
      <c r="V14" s="11" t="str">
        <f>H14</f>
        <v>Null</v>
      </c>
      <c r="W14" s="11" t="str">
        <f>Q14</f>
        <v>OccurrenceTableData</v>
      </c>
      <c r="X14" s="11" t="str">
        <f t="shared" ref="X14:X45" si="32">O14</f>
        <v>ConfigurationFolder/OccurrenceTableData.csv</v>
      </c>
      <c r="Y14" s="12" t="s">
        <v>40</v>
      </c>
      <c r="Z14" s="11" t="str">
        <f t="shared" ref="Z14:Z45" si="33">B14</f>
        <v>QTableWidget</v>
      </c>
      <c r="AA14" s="11">
        <f t="shared" si="8"/>
        <v>1</v>
      </c>
      <c r="AB14" s="11" t="str">
        <f t="shared" ref="AB14:AB45" si="34">L14</f>
        <v>GuiF</v>
      </c>
    </row>
    <row r="15" spans="1:28" s="11" customFormat="1" x14ac:dyDescent="0.15">
      <c r="A15" s="44">
        <f t="shared" si="10"/>
        <v>14</v>
      </c>
      <c r="B15" s="30" t="s">
        <v>43</v>
      </c>
      <c r="C15" s="30" t="s">
        <v>19</v>
      </c>
      <c r="D15" s="30">
        <v>0</v>
      </c>
      <c r="E15" s="30">
        <v>0</v>
      </c>
      <c r="F15" s="30">
        <f>F14</f>
        <v>10</v>
      </c>
      <c r="G15" s="30">
        <v>4</v>
      </c>
      <c r="H15" s="30" t="s">
        <v>26</v>
      </c>
      <c r="I15" s="30" t="s">
        <v>37</v>
      </c>
      <c r="J15" s="30">
        <v>0</v>
      </c>
      <c r="K15" s="45" t="s">
        <v>39</v>
      </c>
      <c r="L15" s="45" t="s">
        <v>41</v>
      </c>
      <c r="M15" s="30">
        <v>2</v>
      </c>
      <c r="N15" s="30">
        <v>1</v>
      </c>
      <c r="O15" s="45" t="s">
        <v>74</v>
      </c>
      <c r="P15" s="30" t="s">
        <v>26</v>
      </c>
      <c r="Q15" s="46" t="s">
        <v>62</v>
      </c>
      <c r="R15" s="30"/>
      <c r="S15" s="40" t="str">
        <f t="shared" si="23"/>
        <v>QTableWidget2</v>
      </c>
      <c r="T15" s="40">
        <f t="shared" si="15"/>
        <v>1</v>
      </c>
      <c r="V15" s="11" t="str">
        <f>H15</f>
        <v>Null</v>
      </c>
      <c r="W15" s="11" t="str">
        <f>Q15</f>
        <v>ChannelTableData</v>
      </c>
      <c r="X15" s="11" t="str">
        <f t="shared" si="32"/>
        <v>ConfigurationFolder/ChannelTableData.csv</v>
      </c>
      <c r="Y15" s="12" t="s">
        <v>40</v>
      </c>
      <c r="Z15" s="11" t="str">
        <f t="shared" si="33"/>
        <v>QTableWidget</v>
      </c>
      <c r="AA15" s="11">
        <f t="shared" si="8"/>
        <v>2</v>
      </c>
      <c r="AB15" s="11" t="str">
        <f t="shared" si="34"/>
        <v>GuiF</v>
      </c>
    </row>
    <row r="16" spans="1:28" s="11" customFormat="1" x14ac:dyDescent="0.15">
      <c r="A16" s="47">
        <f t="shared" si="10"/>
        <v>15</v>
      </c>
      <c r="B16" s="26" t="s">
        <v>30</v>
      </c>
      <c r="C16" s="26" t="s">
        <v>19</v>
      </c>
      <c r="D16" s="26">
        <v>0</v>
      </c>
      <c r="E16" s="26">
        <v>0</v>
      </c>
      <c r="F16" s="26">
        <v>1</v>
      </c>
      <c r="G16" s="26">
        <v>1</v>
      </c>
      <c r="H16" s="26" t="s">
        <v>26</v>
      </c>
      <c r="I16" s="26" t="s">
        <v>26</v>
      </c>
      <c r="J16" s="26" t="s">
        <v>26</v>
      </c>
      <c r="K16" s="26" t="s">
        <v>26</v>
      </c>
      <c r="L16" s="48" t="s">
        <v>41</v>
      </c>
      <c r="M16" s="26">
        <v>5</v>
      </c>
      <c r="N16" s="26" t="s">
        <v>26</v>
      </c>
      <c r="O16" s="26" t="s">
        <v>26</v>
      </c>
      <c r="P16" s="26" t="s">
        <v>26</v>
      </c>
      <c r="Q16" s="26" t="s">
        <v>26</v>
      </c>
      <c r="R16" s="26"/>
      <c r="S16" s="40" t="str">
        <f t="shared" si="23"/>
        <v>QSpacerItem5</v>
      </c>
      <c r="T16" s="40">
        <f t="shared" si="15"/>
        <v>1</v>
      </c>
      <c r="V16" s="11" t="str">
        <f>H16</f>
        <v>Null</v>
      </c>
      <c r="W16" s="11" t="str">
        <f>I16</f>
        <v>Null</v>
      </c>
      <c r="X16" s="11" t="str">
        <f t="shared" si="32"/>
        <v>Null</v>
      </c>
      <c r="Y16" s="11">
        <v>13</v>
      </c>
      <c r="Z16" s="11" t="str">
        <f t="shared" si="33"/>
        <v>QSpacerItem</v>
      </c>
      <c r="AA16" s="11">
        <f t="shared" si="8"/>
        <v>5</v>
      </c>
      <c r="AB16" s="11" t="str">
        <f t="shared" si="34"/>
        <v>GuiF</v>
      </c>
    </row>
    <row r="17" spans="1:28" s="11" customFormat="1" x14ac:dyDescent="0.15">
      <c r="A17" s="47">
        <f t="shared" si="10"/>
        <v>16</v>
      </c>
      <c r="B17" s="26" t="s">
        <v>24</v>
      </c>
      <c r="C17" s="48" t="s">
        <v>75</v>
      </c>
      <c r="D17" s="26">
        <v>0</v>
      </c>
      <c r="E17" s="26">
        <f>E15+1</f>
        <v>1</v>
      </c>
      <c r="F17" s="26">
        <v>1</v>
      </c>
      <c r="G17" s="26">
        <v>1</v>
      </c>
      <c r="H17" s="26" t="s">
        <v>19</v>
      </c>
      <c r="I17" s="47" t="s">
        <v>19</v>
      </c>
      <c r="J17" s="26" t="s">
        <v>19</v>
      </c>
      <c r="K17" s="48" t="s">
        <v>76</v>
      </c>
      <c r="L17" s="48" t="s">
        <v>41</v>
      </c>
      <c r="M17" s="26">
        <v>100</v>
      </c>
      <c r="N17" s="26" t="s">
        <v>19</v>
      </c>
      <c r="O17" s="26" t="s">
        <v>19</v>
      </c>
      <c r="P17" s="26" t="s">
        <v>19</v>
      </c>
      <c r="Q17" s="26" t="s">
        <v>19</v>
      </c>
      <c r="R17" s="26"/>
      <c r="S17" s="40" t="str">
        <f t="shared" si="23"/>
        <v>QPushButton100</v>
      </c>
      <c r="T17" s="40">
        <f t="shared" si="15"/>
        <v>1</v>
      </c>
      <c r="V17" s="11" t="str">
        <f>H17</f>
        <v>NULL</v>
      </c>
      <c r="W17" s="11" t="str">
        <f>I17</f>
        <v>NULL</v>
      </c>
      <c r="X17" s="11" t="str">
        <f>O17</f>
        <v>NULL</v>
      </c>
      <c r="Y17" s="12" t="s">
        <v>40</v>
      </c>
      <c r="Z17" s="11" t="str">
        <f>B17</f>
        <v>QPushButton</v>
      </c>
      <c r="AA17" s="11">
        <f t="shared" si="8"/>
        <v>100</v>
      </c>
      <c r="AB17" s="11" t="str">
        <f>L17</f>
        <v>GuiF</v>
      </c>
    </row>
    <row r="18" spans="1:28" s="11" customFormat="1" x14ac:dyDescent="0.15">
      <c r="A18" s="47">
        <f t="shared" si="10"/>
        <v>17</v>
      </c>
      <c r="B18" s="26" t="s">
        <v>24</v>
      </c>
      <c r="C18" s="48" t="s">
        <v>83</v>
      </c>
      <c r="D18" s="26">
        <v>0</v>
      </c>
      <c r="E18" s="26">
        <f>E17+1</f>
        <v>2</v>
      </c>
      <c r="F18" s="26">
        <v>1</v>
      </c>
      <c r="G18" s="26">
        <v>1</v>
      </c>
      <c r="H18" s="26" t="s">
        <v>19</v>
      </c>
      <c r="I18" s="48" t="s">
        <v>84</v>
      </c>
      <c r="J18" s="26" t="s">
        <v>19</v>
      </c>
      <c r="K18" s="48" t="s">
        <v>87</v>
      </c>
      <c r="L18" s="48" t="s">
        <v>41</v>
      </c>
      <c r="M18" s="26">
        <v>101</v>
      </c>
      <c r="N18" s="26" t="s">
        <v>19</v>
      </c>
      <c r="O18" s="26" t="s">
        <v>19</v>
      </c>
      <c r="P18" s="26" t="s">
        <v>19</v>
      </c>
      <c r="Q18" s="26" t="s">
        <v>19</v>
      </c>
      <c r="R18" s="26"/>
      <c r="S18" s="40" t="str">
        <f t="shared" si="23"/>
        <v>QPushButton101</v>
      </c>
      <c r="T18" s="40">
        <f t="shared" si="15"/>
        <v>1</v>
      </c>
      <c r="V18" s="11" t="str">
        <f t="shared" ref="V18" si="35">H18</f>
        <v>NULL</v>
      </c>
      <c r="W18" s="11" t="str">
        <f t="shared" ref="W18" si="36">I18</f>
        <v>ConfigurationFolder/ConnectionBat/ButtonTrans.bat</v>
      </c>
      <c r="X18" s="11" t="str">
        <f>O18</f>
        <v>NULL</v>
      </c>
      <c r="Y18" s="12" t="s">
        <v>40</v>
      </c>
      <c r="Z18" s="11" t="str">
        <f>B18</f>
        <v>QPushButton</v>
      </c>
      <c r="AA18" s="11">
        <f t="shared" si="8"/>
        <v>101</v>
      </c>
      <c r="AB18" s="11" t="str">
        <f>L18</f>
        <v>GuiF</v>
      </c>
    </row>
    <row r="19" spans="1:28" s="11" customFormat="1" x14ac:dyDescent="0.15">
      <c r="A19" s="47">
        <f t="shared" si="10"/>
        <v>18</v>
      </c>
      <c r="B19" s="26" t="s">
        <v>24</v>
      </c>
      <c r="C19" s="48" t="s">
        <v>72</v>
      </c>
      <c r="D19" s="26">
        <v>0</v>
      </c>
      <c r="E19" s="26">
        <v>3</v>
      </c>
      <c r="F19" s="26">
        <v>1</v>
      </c>
      <c r="G19" s="26">
        <v>1</v>
      </c>
      <c r="H19" s="26" t="s">
        <v>19</v>
      </c>
      <c r="I19" s="26" t="s">
        <v>44</v>
      </c>
      <c r="J19" s="26" t="s">
        <v>19</v>
      </c>
      <c r="K19" s="48" t="s">
        <v>69</v>
      </c>
      <c r="L19" s="48" t="s">
        <v>41</v>
      </c>
      <c r="M19" s="26">
        <v>5</v>
      </c>
      <c r="N19" s="26" t="s">
        <v>19</v>
      </c>
      <c r="O19" s="26" t="s">
        <v>19</v>
      </c>
      <c r="P19" s="26" t="s">
        <v>19</v>
      </c>
      <c r="Q19" s="26" t="s">
        <v>19</v>
      </c>
      <c r="R19" s="26"/>
      <c r="S19" s="40" t="str">
        <f t="shared" si="23"/>
        <v>QPushButton5</v>
      </c>
      <c r="T19" s="40">
        <f t="shared" si="15"/>
        <v>1</v>
      </c>
      <c r="V19" s="11" t="str">
        <f>H19</f>
        <v>NULL</v>
      </c>
      <c r="W19" s="11" t="str">
        <f>I19</f>
        <v>ConfigurationFolder/ConnectionBat/Button1.bat</v>
      </c>
      <c r="X19" s="11" t="str">
        <f>O19</f>
        <v>NULL</v>
      </c>
      <c r="Y19" s="12" t="s">
        <v>40</v>
      </c>
      <c r="Z19" s="11" t="str">
        <f>B19</f>
        <v>QPushButton</v>
      </c>
      <c r="AA19" s="11">
        <f t="shared" si="8"/>
        <v>5</v>
      </c>
      <c r="AB19" s="11" t="str">
        <f>L19</f>
        <v>GuiF</v>
      </c>
    </row>
    <row r="20" spans="1:28" s="11" customFormat="1" x14ac:dyDescent="0.15">
      <c r="A20" s="47">
        <f t="shared" si="10"/>
        <v>19</v>
      </c>
      <c r="B20" s="26" t="s">
        <v>24</v>
      </c>
      <c r="C20" s="48" t="s">
        <v>68</v>
      </c>
      <c r="D20" s="26">
        <v>0</v>
      </c>
      <c r="E20" s="26">
        <f>E19+1</f>
        <v>4</v>
      </c>
      <c r="F20" s="26">
        <v>1</v>
      </c>
      <c r="G20" s="26">
        <v>1</v>
      </c>
      <c r="H20" s="26" t="s">
        <v>19</v>
      </c>
      <c r="I20" s="48" t="s">
        <v>85</v>
      </c>
      <c r="J20" s="26" t="s">
        <v>19</v>
      </c>
      <c r="K20" s="48" t="s">
        <v>70</v>
      </c>
      <c r="L20" s="48" t="s">
        <v>41</v>
      </c>
      <c r="M20" s="26">
        <f>M19+1</f>
        <v>6</v>
      </c>
      <c r="N20" s="26" t="s">
        <v>19</v>
      </c>
      <c r="O20" s="26" t="s">
        <v>19</v>
      </c>
      <c r="P20" s="26" t="s">
        <v>19</v>
      </c>
      <c r="Q20" s="26" t="s">
        <v>19</v>
      </c>
      <c r="R20" s="26"/>
      <c r="S20" s="40" t="str">
        <f t="shared" si="23"/>
        <v>QPushButton6</v>
      </c>
      <c r="T20" s="40">
        <f t="shared" si="15"/>
        <v>1</v>
      </c>
      <c r="V20" s="11" t="str">
        <f t="shared" ref="V20" si="37">H20</f>
        <v>NULL</v>
      </c>
      <c r="W20" s="11" t="str">
        <f t="shared" ref="W20" si="38">I20</f>
        <v>ConfigurationFolder/ConnectionBat/ButtonCal.bat</v>
      </c>
      <c r="X20" s="11" t="str">
        <f t="shared" ref="X20" si="39">O20</f>
        <v>NULL</v>
      </c>
      <c r="Y20" s="12" t="s">
        <v>40</v>
      </c>
      <c r="Z20" s="11" t="str">
        <f t="shared" ref="Z20" si="40">B20</f>
        <v>QPushButton</v>
      </c>
      <c r="AA20" s="11">
        <f>M20</f>
        <v>6</v>
      </c>
      <c r="AB20" s="11" t="str">
        <f t="shared" ref="AB20" si="41">L20</f>
        <v>GuiF</v>
      </c>
    </row>
    <row r="21" spans="1:28" s="11" customFormat="1" x14ac:dyDescent="0.15">
      <c r="A21" s="47">
        <f t="shared" si="10"/>
        <v>20</v>
      </c>
      <c r="B21" s="26" t="s">
        <v>24</v>
      </c>
      <c r="C21" s="48" t="s">
        <v>73</v>
      </c>
      <c r="D21" s="26">
        <v>0</v>
      </c>
      <c r="E21" s="26">
        <f>E20+1</f>
        <v>5</v>
      </c>
      <c r="F21" s="26">
        <v>1</v>
      </c>
      <c r="G21" s="26">
        <v>1</v>
      </c>
      <c r="H21" s="26" t="s">
        <v>19</v>
      </c>
      <c r="I21" s="48" t="s">
        <v>86</v>
      </c>
      <c r="J21" s="26" t="s">
        <v>19</v>
      </c>
      <c r="K21" s="48" t="s">
        <v>71</v>
      </c>
      <c r="L21" s="48" t="s">
        <v>41</v>
      </c>
      <c r="M21" s="26">
        <f>M20+1</f>
        <v>7</v>
      </c>
      <c r="N21" s="26" t="s">
        <v>19</v>
      </c>
      <c r="O21" s="26" t="s">
        <v>19</v>
      </c>
      <c r="P21" s="26" t="s">
        <v>19</v>
      </c>
      <c r="Q21" s="26" t="s">
        <v>19</v>
      </c>
      <c r="R21" s="26"/>
      <c r="S21" s="40" t="str">
        <f t="shared" si="23"/>
        <v>QPushButton7</v>
      </c>
      <c r="T21" s="40">
        <f t="shared" si="15"/>
        <v>1</v>
      </c>
      <c r="V21" s="11" t="str">
        <f t="shared" ref="V21:V24" si="42">H21</f>
        <v>NULL</v>
      </c>
      <c r="W21" s="11" t="str">
        <f t="shared" ref="W21:W24" si="43">I21</f>
        <v>ConfigurationFolder/ConnectionBat/ButtonOpen.bat</v>
      </c>
      <c r="X21" s="11" t="str">
        <f t="shared" ref="X21:X24" si="44">O21</f>
        <v>NULL</v>
      </c>
      <c r="Y21" s="12" t="s">
        <v>40</v>
      </c>
      <c r="Z21" s="11" t="str">
        <f t="shared" ref="Z21:Z24" si="45">B21</f>
        <v>QPushButton</v>
      </c>
      <c r="AA21" s="11">
        <f t="shared" ref="AA21:AA31" si="46">M:M</f>
        <v>7</v>
      </c>
      <c r="AB21" s="11" t="str">
        <f t="shared" ref="AB21:AB24" si="47">L21</f>
        <v>GuiF</v>
      </c>
    </row>
    <row r="22" spans="1:28" s="11" customFormat="1" x14ac:dyDescent="0.15">
      <c r="A22" s="61">
        <f t="shared" si="10"/>
        <v>21</v>
      </c>
      <c r="B22" s="27" t="s">
        <v>18</v>
      </c>
      <c r="C22" s="62" t="s">
        <v>77</v>
      </c>
      <c r="D22" s="27">
        <v>0</v>
      </c>
      <c r="E22" s="27">
        <v>0</v>
      </c>
      <c r="F22" s="27">
        <v>1</v>
      </c>
      <c r="G22" s="27">
        <v>1</v>
      </c>
      <c r="H22" s="27" t="s">
        <v>19</v>
      </c>
      <c r="I22" s="27" t="s">
        <v>20</v>
      </c>
      <c r="J22" s="27" t="s">
        <v>21</v>
      </c>
      <c r="K22" s="27" t="s">
        <v>19</v>
      </c>
      <c r="L22" s="62" t="s">
        <v>41</v>
      </c>
      <c r="M22" s="27">
        <v>10</v>
      </c>
      <c r="N22" s="27" t="s">
        <v>19</v>
      </c>
      <c r="O22" s="27" t="s">
        <v>19</v>
      </c>
      <c r="P22" s="27" t="s">
        <v>19</v>
      </c>
      <c r="Q22" s="27" t="s">
        <v>19</v>
      </c>
      <c r="R22" s="27"/>
      <c r="S22" s="40" t="str">
        <f t="shared" si="23"/>
        <v>Qlabel10</v>
      </c>
      <c r="T22" s="40">
        <f t="shared" si="15"/>
        <v>1</v>
      </c>
      <c r="V22" s="11" t="str">
        <f t="shared" si="42"/>
        <v>NULL</v>
      </c>
      <c r="W22" s="11" t="str">
        <f t="shared" si="43"/>
        <v>AlignRight</v>
      </c>
      <c r="X22" s="11" t="str">
        <f t="shared" si="44"/>
        <v>NULL</v>
      </c>
      <c r="Y22" s="11">
        <v>11</v>
      </c>
      <c r="Z22" s="11" t="str">
        <f t="shared" si="45"/>
        <v>Qlabel</v>
      </c>
      <c r="AA22" s="11">
        <f t="shared" si="46"/>
        <v>10</v>
      </c>
      <c r="AB22" s="11" t="str">
        <f t="shared" si="47"/>
        <v>GuiF</v>
      </c>
    </row>
    <row r="23" spans="1:28" s="13" customFormat="1" x14ac:dyDescent="0.15">
      <c r="A23" s="61">
        <f t="shared" si="10"/>
        <v>22</v>
      </c>
      <c r="B23" s="61" t="s">
        <v>22</v>
      </c>
      <c r="C23" s="63" t="s">
        <v>78</v>
      </c>
      <c r="D23" s="61">
        <f t="shared" ref="D23" si="48">D22</f>
        <v>0</v>
      </c>
      <c r="E23" s="61">
        <f t="shared" ref="E23:E29" si="49">E22+1</f>
        <v>1</v>
      </c>
      <c r="F23" s="61">
        <v>1</v>
      </c>
      <c r="G23" s="61">
        <v>1</v>
      </c>
      <c r="H23" s="63" t="s">
        <v>51</v>
      </c>
      <c r="I23" s="61">
        <v>5000</v>
      </c>
      <c r="J23" s="61" t="s">
        <v>19</v>
      </c>
      <c r="K23" s="61" t="s">
        <v>19</v>
      </c>
      <c r="L23" s="64" t="str">
        <f t="shared" ref="L23:M23" si="50">L22</f>
        <v>GuiF</v>
      </c>
      <c r="M23" s="61">
        <f t="shared" si="50"/>
        <v>10</v>
      </c>
      <c r="N23" s="61" t="s">
        <v>19</v>
      </c>
      <c r="O23" s="61" t="str">
        <f>C22</f>
        <v>Run1 Gate:</v>
      </c>
      <c r="P23" s="61" t="s">
        <v>19</v>
      </c>
      <c r="Q23" s="61" t="s">
        <v>19</v>
      </c>
      <c r="R23" s="61"/>
      <c r="S23" s="40" t="str">
        <f t="shared" si="23"/>
        <v>QLineEdit10</v>
      </c>
      <c r="T23" s="40">
        <f t="shared" si="15"/>
        <v>1</v>
      </c>
      <c r="V23" s="11" t="str">
        <f t="shared" si="42"/>
        <v>NcodePara</v>
      </c>
      <c r="W23" s="11">
        <f t="shared" si="43"/>
        <v>5000</v>
      </c>
      <c r="X23" s="11" t="str">
        <f t="shared" si="44"/>
        <v>Run1 Gate:</v>
      </c>
      <c r="Y23" s="13">
        <v>0</v>
      </c>
      <c r="Z23" s="11" t="str">
        <f t="shared" si="45"/>
        <v>QLineEdit</v>
      </c>
      <c r="AA23" s="11">
        <f t="shared" si="46"/>
        <v>10</v>
      </c>
      <c r="AB23" s="11" t="str">
        <f t="shared" si="47"/>
        <v>GuiF</v>
      </c>
    </row>
    <row r="24" spans="1:28" s="11" customFormat="1" x14ac:dyDescent="0.15">
      <c r="A24" s="61">
        <f t="shared" si="10"/>
        <v>23</v>
      </c>
      <c r="B24" s="27" t="s">
        <v>30</v>
      </c>
      <c r="C24" s="27" t="s">
        <v>19</v>
      </c>
      <c r="D24" s="27">
        <v>0</v>
      </c>
      <c r="E24" s="27">
        <v>2</v>
      </c>
      <c r="F24" s="27">
        <v>1</v>
      </c>
      <c r="G24" s="27">
        <v>1</v>
      </c>
      <c r="H24" s="27" t="s">
        <v>26</v>
      </c>
      <c r="I24" s="27" t="s">
        <v>26</v>
      </c>
      <c r="J24" s="27" t="s">
        <v>26</v>
      </c>
      <c r="K24" s="27" t="s">
        <v>26</v>
      </c>
      <c r="L24" s="62" t="s">
        <v>41</v>
      </c>
      <c r="M24" s="27">
        <f>M23</f>
        <v>10</v>
      </c>
      <c r="N24" s="27" t="s">
        <v>26</v>
      </c>
      <c r="O24" s="27" t="s">
        <v>26</v>
      </c>
      <c r="P24" s="27" t="s">
        <v>26</v>
      </c>
      <c r="Q24" s="27" t="s">
        <v>26</v>
      </c>
      <c r="R24" s="27"/>
      <c r="S24" s="40" t="str">
        <f t="shared" si="23"/>
        <v>QSpacerItem10</v>
      </c>
      <c r="T24" s="40">
        <f t="shared" si="15"/>
        <v>1</v>
      </c>
      <c r="V24" s="11" t="str">
        <f t="shared" si="42"/>
        <v>Null</v>
      </c>
      <c r="W24" s="11" t="str">
        <f t="shared" si="43"/>
        <v>Null</v>
      </c>
      <c r="X24" s="11" t="str">
        <f t="shared" si="44"/>
        <v>Null</v>
      </c>
      <c r="Y24" s="11">
        <v>13</v>
      </c>
      <c r="Z24" s="11" t="str">
        <f t="shared" si="45"/>
        <v>QSpacerItem</v>
      </c>
      <c r="AA24" s="11">
        <f t="shared" si="46"/>
        <v>10</v>
      </c>
      <c r="AB24" s="11" t="str">
        <f t="shared" si="47"/>
        <v>GuiF</v>
      </c>
    </row>
    <row r="25" spans="1:28" s="11" customFormat="1" x14ac:dyDescent="0.15">
      <c r="A25" s="61">
        <f t="shared" si="10"/>
        <v>24</v>
      </c>
      <c r="B25" s="27" t="s">
        <v>18</v>
      </c>
      <c r="C25" s="62" t="s">
        <v>93</v>
      </c>
      <c r="D25" s="27">
        <v>0</v>
      </c>
      <c r="E25" s="27">
        <v>3</v>
      </c>
      <c r="F25" s="27">
        <v>1</v>
      </c>
      <c r="G25" s="27">
        <v>1</v>
      </c>
      <c r="H25" s="27" t="s">
        <v>19</v>
      </c>
      <c r="I25" s="27" t="s">
        <v>20</v>
      </c>
      <c r="J25" s="27" t="s">
        <v>21</v>
      </c>
      <c r="K25" s="27" t="s">
        <v>19</v>
      </c>
      <c r="L25" s="62" t="s">
        <v>41</v>
      </c>
      <c r="M25" s="27">
        <v>11</v>
      </c>
      <c r="N25" s="27" t="s">
        <v>19</v>
      </c>
      <c r="O25" s="27" t="s">
        <v>19</v>
      </c>
      <c r="P25" s="27" t="s">
        <v>19</v>
      </c>
      <c r="Q25" s="27" t="s">
        <v>19</v>
      </c>
      <c r="R25" s="27"/>
      <c r="S25" s="40" t="str">
        <f t="shared" si="23"/>
        <v>Qlabel11</v>
      </c>
      <c r="T25" s="40">
        <f t="shared" si="15"/>
        <v>1</v>
      </c>
      <c r="V25" s="11" t="str">
        <f t="shared" ref="V25:V26" si="51">H25</f>
        <v>NULL</v>
      </c>
      <c r="W25" s="11" t="str">
        <f t="shared" ref="W25:W26" si="52">I25</f>
        <v>AlignRight</v>
      </c>
      <c r="X25" s="11" t="str">
        <f t="shared" ref="X25:X26" si="53">O25</f>
        <v>NULL</v>
      </c>
      <c r="Y25" s="11">
        <v>11</v>
      </c>
      <c r="Z25" s="11" t="str">
        <f t="shared" ref="Z25:Z26" si="54">B25</f>
        <v>Qlabel</v>
      </c>
      <c r="AA25" s="11">
        <f t="shared" si="46"/>
        <v>11</v>
      </c>
      <c r="AB25" s="11" t="str">
        <f t="shared" ref="AB25:AB26" si="55">L25</f>
        <v>GuiF</v>
      </c>
    </row>
    <row r="26" spans="1:28" s="13" customFormat="1" x14ac:dyDescent="0.15">
      <c r="A26" s="61">
        <f t="shared" si="10"/>
        <v>25</v>
      </c>
      <c r="B26" s="61" t="s">
        <v>22</v>
      </c>
      <c r="C26" s="63" t="s">
        <v>60</v>
      </c>
      <c r="D26" s="61">
        <f>D25</f>
        <v>0</v>
      </c>
      <c r="E26" s="61">
        <f>E25+1</f>
        <v>4</v>
      </c>
      <c r="F26" s="61">
        <v>1</v>
      </c>
      <c r="G26" s="61">
        <v>1</v>
      </c>
      <c r="H26" s="63" t="s">
        <v>51</v>
      </c>
      <c r="I26" s="61">
        <v>5001</v>
      </c>
      <c r="J26" s="61" t="s">
        <v>19</v>
      </c>
      <c r="K26" s="61" t="s">
        <v>19</v>
      </c>
      <c r="L26" s="64" t="str">
        <f>L25</f>
        <v>GuiF</v>
      </c>
      <c r="M26" s="61">
        <f>M25</f>
        <v>11</v>
      </c>
      <c r="N26" s="61" t="s">
        <v>19</v>
      </c>
      <c r="O26" s="61" t="str">
        <f>C25</f>
        <v>Run1 PercentToKeep:</v>
      </c>
      <c r="P26" s="61" t="s">
        <v>19</v>
      </c>
      <c r="Q26" s="61" t="s">
        <v>19</v>
      </c>
      <c r="R26" s="61"/>
      <c r="S26" s="40" t="str">
        <f t="shared" si="23"/>
        <v>QLineEdit11</v>
      </c>
      <c r="T26" s="40">
        <f t="shared" si="15"/>
        <v>1</v>
      </c>
      <c r="V26" s="11" t="str">
        <f t="shared" si="51"/>
        <v>NcodePara</v>
      </c>
      <c r="W26" s="11">
        <f t="shared" si="52"/>
        <v>5001</v>
      </c>
      <c r="X26" s="11" t="str">
        <f t="shared" si="53"/>
        <v>Run1 PercentToKeep:</v>
      </c>
      <c r="Y26" s="13">
        <v>0</v>
      </c>
      <c r="Z26" s="11" t="str">
        <f t="shared" si="54"/>
        <v>QLineEdit</v>
      </c>
      <c r="AA26" s="11">
        <f t="shared" si="46"/>
        <v>11</v>
      </c>
      <c r="AB26" s="11" t="str">
        <f t="shared" si="55"/>
        <v>GuiF</v>
      </c>
    </row>
    <row r="27" spans="1:28" s="11" customFormat="1" x14ac:dyDescent="0.15">
      <c r="A27" s="61">
        <f t="shared" si="10"/>
        <v>26</v>
      </c>
      <c r="B27" s="27" t="s">
        <v>30</v>
      </c>
      <c r="C27" s="27" t="s">
        <v>19</v>
      </c>
      <c r="D27" s="27">
        <v>0</v>
      </c>
      <c r="E27" s="27">
        <v>5</v>
      </c>
      <c r="F27" s="27">
        <v>1</v>
      </c>
      <c r="G27" s="27">
        <v>1</v>
      </c>
      <c r="H27" s="27" t="s">
        <v>26</v>
      </c>
      <c r="I27" s="27" t="s">
        <v>26</v>
      </c>
      <c r="J27" s="27" t="s">
        <v>26</v>
      </c>
      <c r="K27" s="27" t="s">
        <v>26</v>
      </c>
      <c r="L27" s="62" t="s">
        <v>41</v>
      </c>
      <c r="M27" s="27">
        <f>M25</f>
        <v>11</v>
      </c>
      <c r="N27" s="27" t="s">
        <v>26</v>
      </c>
      <c r="O27" s="27" t="s">
        <v>26</v>
      </c>
      <c r="P27" s="27" t="s">
        <v>26</v>
      </c>
      <c r="Q27" s="27" t="s">
        <v>26</v>
      </c>
      <c r="R27" s="27"/>
      <c r="S27" s="40" t="str">
        <f t="shared" si="23"/>
        <v>QSpacerItem11</v>
      </c>
      <c r="T27" s="40">
        <f t="shared" si="15"/>
        <v>1</v>
      </c>
      <c r="V27" s="11" t="str">
        <f>H27</f>
        <v>Null</v>
      </c>
      <c r="W27" s="11" t="str">
        <f>I27</f>
        <v>Null</v>
      </c>
      <c r="X27" s="11" t="str">
        <f>O27</f>
        <v>Null</v>
      </c>
      <c r="Y27" s="11">
        <v>13</v>
      </c>
      <c r="Z27" s="11" t="str">
        <f>B27</f>
        <v>QSpacerItem</v>
      </c>
      <c r="AA27" s="11">
        <f t="shared" si="46"/>
        <v>11</v>
      </c>
      <c r="AB27" s="11" t="str">
        <f>L27</f>
        <v>GuiF</v>
      </c>
    </row>
    <row r="28" spans="1:28" s="11" customFormat="1" x14ac:dyDescent="0.15">
      <c r="A28" s="61">
        <f t="shared" si="10"/>
        <v>27</v>
      </c>
      <c r="B28" s="27" t="s">
        <v>18</v>
      </c>
      <c r="C28" s="62" t="s">
        <v>94</v>
      </c>
      <c r="D28" s="27">
        <v>1</v>
      </c>
      <c r="E28" s="27">
        <v>0</v>
      </c>
      <c r="F28" s="27">
        <v>1</v>
      </c>
      <c r="G28" s="27">
        <v>1</v>
      </c>
      <c r="H28" s="27" t="s">
        <v>19</v>
      </c>
      <c r="I28" s="27" t="s">
        <v>20</v>
      </c>
      <c r="J28" s="27" t="s">
        <v>21</v>
      </c>
      <c r="K28" s="27" t="s">
        <v>19</v>
      </c>
      <c r="L28" s="62" t="s">
        <v>41</v>
      </c>
      <c r="M28" s="27">
        <v>12</v>
      </c>
      <c r="N28" s="27" t="s">
        <v>19</v>
      </c>
      <c r="O28" s="27" t="s">
        <v>19</v>
      </c>
      <c r="P28" s="27" t="s">
        <v>19</v>
      </c>
      <c r="Q28" s="27" t="s">
        <v>19</v>
      </c>
      <c r="R28" s="27"/>
      <c r="S28" s="40" t="str">
        <f t="shared" si="23"/>
        <v>Qlabel12</v>
      </c>
      <c r="T28" s="40">
        <f t="shared" si="15"/>
        <v>1</v>
      </c>
      <c r="V28" s="11" t="str">
        <f t="shared" ref="V28:V31" si="56">H28</f>
        <v>NULL</v>
      </c>
      <c r="W28" s="11" t="str">
        <f t="shared" ref="W28:W31" si="57">I28</f>
        <v>AlignRight</v>
      </c>
      <c r="X28" s="11" t="str">
        <f t="shared" ref="X28:X31" si="58">O28</f>
        <v>NULL</v>
      </c>
      <c r="Y28" s="11">
        <v>11</v>
      </c>
      <c r="Z28" s="11" t="str">
        <f t="shared" ref="Z28:Z31" si="59">B28</f>
        <v>Qlabel</v>
      </c>
      <c r="AA28" s="11">
        <f t="shared" si="46"/>
        <v>12</v>
      </c>
      <c r="AB28" s="11" t="str">
        <f t="shared" ref="AB28:AB31" si="60">L28</f>
        <v>GuiF</v>
      </c>
    </row>
    <row r="29" spans="1:28" s="13" customFormat="1" x14ac:dyDescent="0.15">
      <c r="A29" s="61">
        <f t="shared" si="10"/>
        <v>28</v>
      </c>
      <c r="B29" s="61" t="s">
        <v>22</v>
      </c>
      <c r="C29" s="63" t="s">
        <v>60</v>
      </c>
      <c r="D29" s="61">
        <v>1</v>
      </c>
      <c r="E29" s="61">
        <f t="shared" si="49"/>
        <v>1</v>
      </c>
      <c r="F29" s="61">
        <v>1</v>
      </c>
      <c r="G29" s="61">
        <v>1</v>
      </c>
      <c r="H29" s="63" t="s">
        <v>51</v>
      </c>
      <c r="I29" s="61">
        <v>5002</v>
      </c>
      <c r="J29" s="61" t="s">
        <v>19</v>
      </c>
      <c r="K29" s="61" t="s">
        <v>19</v>
      </c>
      <c r="L29" s="64" t="str">
        <f t="shared" ref="L29:M29" si="61">L28</f>
        <v>GuiF</v>
      </c>
      <c r="M29" s="61">
        <f t="shared" si="61"/>
        <v>12</v>
      </c>
      <c r="N29" s="61" t="s">
        <v>19</v>
      </c>
      <c r="O29" s="61" t="str">
        <f>C28</f>
        <v>Run2 Gate:</v>
      </c>
      <c r="P29" s="61" t="s">
        <v>19</v>
      </c>
      <c r="Q29" s="61" t="s">
        <v>19</v>
      </c>
      <c r="R29" s="61"/>
      <c r="S29" s="40" t="str">
        <f t="shared" si="23"/>
        <v>QLineEdit12</v>
      </c>
      <c r="T29" s="40">
        <f t="shared" si="15"/>
        <v>1</v>
      </c>
      <c r="V29" s="11" t="str">
        <f t="shared" si="56"/>
        <v>NcodePara</v>
      </c>
      <c r="W29" s="11">
        <f t="shared" si="57"/>
        <v>5002</v>
      </c>
      <c r="X29" s="11" t="str">
        <f t="shared" si="58"/>
        <v>Run2 Gate:</v>
      </c>
      <c r="Y29" s="13">
        <v>0</v>
      </c>
      <c r="Z29" s="11" t="str">
        <f t="shared" si="59"/>
        <v>QLineEdit</v>
      </c>
      <c r="AA29" s="11">
        <f t="shared" si="46"/>
        <v>12</v>
      </c>
      <c r="AB29" s="11" t="str">
        <f t="shared" si="60"/>
        <v>GuiF</v>
      </c>
    </row>
    <row r="30" spans="1:28" s="11" customFormat="1" x14ac:dyDescent="0.15">
      <c r="A30" s="61">
        <f t="shared" si="10"/>
        <v>29</v>
      </c>
      <c r="B30" s="27" t="s">
        <v>30</v>
      </c>
      <c r="C30" s="27" t="s">
        <v>19</v>
      </c>
      <c r="D30" s="27">
        <v>1</v>
      </c>
      <c r="E30" s="27">
        <v>2</v>
      </c>
      <c r="F30" s="27">
        <v>1</v>
      </c>
      <c r="G30" s="27">
        <v>1</v>
      </c>
      <c r="H30" s="27" t="s">
        <v>26</v>
      </c>
      <c r="I30" s="27" t="s">
        <v>26</v>
      </c>
      <c r="J30" s="27" t="s">
        <v>26</v>
      </c>
      <c r="K30" s="27" t="s">
        <v>26</v>
      </c>
      <c r="L30" s="62" t="s">
        <v>41</v>
      </c>
      <c r="M30" s="27">
        <f>M29</f>
        <v>12</v>
      </c>
      <c r="N30" s="27" t="s">
        <v>26</v>
      </c>
      <c r="O30" s="27" t="s">
        <v>26</v>
      </c>
      <c r="P30" s="27" t="s">
        <v>26</v>
      </c>
      <c r="Q30" s="27" t="s">
        <v>26</v>
      </c>
      <c r="R30" s="27"/>
      <c r="S30" s="40" t="str">
        <f t="shared" si="23"/>
        <v>QSpacerItem12</v>
      </c>
      <c r="T30" s="40">
        <f t="shared" si="15"/>
        <v>1</v>
      </c>
      <c r="V30" s="11" t="str">
        <f t="shared" si="56"/>
        <v>Null</v>
      </c>
      <c r="W30" s="11" t="str">
        <f t="shared" si="57"/>
        <v>Null</v>
      </c>
      <c r="X30" s="11" t="str">
        <f t="shared" si="58"/>
        <v>Null</v>
      </c>
      <c r="Y30" s="11">
        <v>13</v>
      </c>
      <c r="Z30" s="11" t="str">
        <f t="shared" si="59"/>
        <v>QSpacerItem</v>
      </c>
      <c r="AA30" s="11">
        <f t="shared" si="46"/>
        <v>12</v>
      </c>
      <c r="AB30" s="11" t="str">
        <f t="shared" si="60"/>
        <v>GuiF</v>
      </c>
    </row>
    <row r="31" spans="1:28" s="11" customFormat="1" x14ac:dyDescent="0.15">
      <c r="A31" s="61">
        <f t="shared" si="10"/>
        <v>30</v>
      </c>
      <c r="B31" s="27" t="s">
        <v>24</v>
      </c>
      <c r="C31" s="62" t="s">
        <v>98</v>
      </c>
      <c r="D31" s="27">
        <v>1</v>
      </c>
      <c r="E31" s="27">
        <f>E30+1</f>
        <v>3</v>
      </c>
      <c r="F31" s="27">
        <v>1</v>
      </c>
      <c r="G31" s="27">
        <v>1</v>
      </c>
      <c r="H31" s="27" t="s">
        <v>19</v>
      </c>
      <c r="I31" s="62" t="s">
        <v>95</v>
      </c>
      <c r="J31" s="27" t="s">
        <v>19</v>
      </c>
      <c r="K31" s="62" t="s">
        <v>96</v>
      </c>
      <c r="L31" s="62" t="s">
        <v>41</v>
      </c>
      <c r="M31" s="27">
        <f>M30</f>
        <v>12</v>
      </c>
      <c r="N31" s="27" t="s">
        <v>19</v>
      </c>
      <c r="O31" s="27" t="s">
        <v>19</v>
      </c>
      <c r="P31" s="27" t="s">
        <v>19</v>
      </c>
      <c r="Q31" s="27" t="s">
        <v>19</v>
      </c>
      <c r="R31" s="27"/>
      <c r="S31" s="40" t="str">
        <f t="shared" si="23"/>
        <v>QPushButton12</v>
      </c>
      <c r="T31" s="40">
        <f t="shared" si="15"/>
        <v>1</v>
      </c>
      <c r="V31" s="11" t="str">
        <f t="shared" si="56"/>
        <v>NULL</v>
      </c>
      <c r="W31" s="11" t="str">
        <f t="shared" si="57"/>
        <v>ConfigurationFolder/ConnectionBat/ButtonOtherSet.bat</v>
      </c>
      <c r="X31" s="11" t="str">
        <f t="shared" si="58"/>
        <v>NULL</v>
      </c>
      <c r="Y31" s="12" t="s">
        <v>40</v>
      </c>
      <c r="Z31" s="11" t="str">
        <f t="shared" si="59"/>
        <v>QPushButton</v>
      </c>
      <c r="AA31" s="11">
        <f t="shared" si="46"/>
        <v>12</v>
      </c>
      <c r="AB31" s="11" t="str">
        <f t="shared" si="60"/>
        <v>GuiF</v>
      </c>
    </row>
    <row r="32" spans="1:28" s="11" customFormat="1" x14ac:dyDescent="0.15">
      <c r="A32" s="47">
        <f t="shared" si="10"/>
        <v>31</v>
      </c>
      <c r="B32" s="47" t="s">
        <v>99</v>
      </c>
      <c r="C32" s="47" t="s">
        <v>26</v>
      </c>
      <c r="D32" s="47">
        <v>1</v>
      </c>
      <c r="E32" s="47">
        <v>0</v>
      </c>
      <c r="F32" s="47">
        <v>1</v>
      </c>
      <c r="G32" s="47">
        <v>2</v>
      </c>
      <c r="H32" s="47" t="s">
        <v>26</v>
      </c>
      <c r="I32" s="47">
        <v>1</v>
      </c>
      <c r="J32" s="47" t="s">
        <v>26</v>
      </c>
      <c r="K32" s="47" t="s">
        <v>26</v>
      </c>
      <c r="L32" s="48" t="s">
        <v>41</v>
      </c>
      <c r="M32" s="47">
        <f>A2</f>
        <v>1</v>
      </c>
      <c r="N32" s="47">
        <f>A10</f>
        <v>9</v>
      </c>
      <c r="O32" s="47" t="s">
        <v>26</v>
      </c>
      <c r="P32" s="47" t="s">
        <v>26</v>
      </c>
      <c r="Q32" s="47" t="s">
        <v>26</v>
      </c>
      <c r="R32" s="26"/>
      <c r="S32" s="40" t="str">
        <f t="shared" ref="S32:S43" si="62">B32&amp;I32</f>
        <v>QGridLayout1</v>
      </c>
      <c r="T32" s="40">
        <f>IF(COUNTIF(S:S,S32)&gt;1,0,1)</f>
        <v>1</v>
      </c>
      <c r="V32" s="11" t="str">
        <f>H32</f>
        <v>Null</v>
      </c>
      <c r="W32" s="11">
        <f>I32</f>
        <v>1</v>
      </c>
      <c r="X32" s="11" t="str">
        <f t="shared" si="32"/>
        <v>Null</v>
      </c>
      <c r="Y32" s="12" t="s">
        <v>40</v>
      </c>
      <c r="Z32" s="11" t="str">
        <f t="shared" si="33"/>
        <v>QGridLayout</v>
      </c>
      <c r="AA32" s="11">
        <f>I32</f>
        <v>1</v>
      </c>
      <c r="AB32" s="11" t="str">
        <f t="shared" si="34"/>
        <v>GuiF</v>
      </c>
    </row>
    <row r="33" spans="1:28" s="11" customFormat="1" x14ac:dyDescent="0.15">
      <c r="A33" s="13">
        <f t="shared" si="10"/>
        <v>32</v>
      </c>
      <c r="B33" s="13" t="s">
        <v>27</v>
      </c>
      <c r="C33" s="50" t="s">
        <v>56</v>
      </c>
      <c r="D33" s="13">
        <v>1</v>
      </c>
      <c r="E33" s="13">
        <v>0</v>
      </c>
      <c r="F33" s="13">
        <v>1</v>
      </c>
      <c r="G33" s="13">
        <v>2</v>
      </c>
      <c r="H33" s="13" t="s">
        <v>26</v>
      </c>
      <c r="I33" s="13">
        <f>I32+1</f>
        <v>2</v>
      </c>
      <c r="J33" s="13">
        <f t="shared" ref="J33" si="63">I32</f>
        <v>1</v>
      </c>
      <c r="K33" s="50" t="s">
        <v>60</v>
      </c>
      <c r="L33" s="12" t="s">
        <v>41</v>
      </c>
      <c r="M33" s="13" t="s">
        <v>26</v>
      </c>
      <c r="N33" s="13" t="s">
        <v>26</v>
      </c>
      <c r="O33" s="13" t="s">
        <v>26</v>
      </c>
      <c r="P33" s="13">
        <v>0</v>
      </c>
      <c r="Q33" s="13" t="s">
        <v>26</v>
      </c>
      <c r="S33" s="40" t="str">
        <f t="shared" si="62"/>
        <v>QGroupBox2</v>
      </c>
      <c r="T33" s="40">
        <f t="shared" si="15"/>
        <v>1</v>
      </c>
      <c r="V33" s="11" t="str">
        <f>H33</f>
        <v>Null</v>
      </c>
      <c r="W33" s="11">
        <f>I33</f>
        <v>2</v>
      </c>
      <c r="X33" s="11" t="str">
        <f t="shared" si="32"/>
        <v>Null</v>
      </c>
      <c r="Y33" s="12" t="s">
        <v>40</v>
      </c>
      <c r="Z33" s="11" t="str">
        <f t="shared" si="33"/>
        <v>QGroupBox</v>
      </c>
      <c r="AA33" s="11">
        <f>W33</f>
        <v>2</v>
      </c>
      <c r="AB33" s="11" t="str">
        <f t="shared" si="34"/>
        <v>GuiF</v>
      </c>
    </row>
    <row r="34" spans="1:28" s="13" customFormat="1" x14ac:dyDescent="0.15">
      <c r="A34" s="34">
        <f t="shared" si="10"/>
        <v>33</v>
      </c>
      <c r="B34" s="34" t="s">
        <v>35</v>
      </c>
      <c r="C34" s="34" t="s">
        <v>19</v>
      </c>
      <c r="D34" s="34">
        <v>2</v>
      </c>
      <c r="E34" s="34">
        <v>0</v>
      </c>
      <c r="F34" s="34">
        <v>1</v>
      </c>
      <c r="G34" s="34">
        <v>2</v>
      </c>
      <c r="H34" s="34" t="s">
        <v>19</v>
      </c>
      <c r="I34" s="34">
        <v>2</v>
      </c>
      <c r="J34" s="34" t="s">
        <v>19</v>
      </c>
      <c r="K34" s="34" t="s">
        <v>19</v>
      </c>
      <c r="L34" s="42" t="s">
        <v>41</v>
      </c>
      <c r="M34" s="34">
        <f>A11</f>
        <v>10</v>
      </c>
      <c r="N34" s="34">
        <f>A13</f>
        <v>12</v>
      </c>
      <c r="O34" s="34" t="s">
        <v>19</v>
      </c>
      <c r="P34" s="34" t="s">
        <v>19</v>
      </c>
      <c r="Q34" s="34" t="s">
        <v>19</v>
      </c>
      <c r="R34" s="34"/>
      <c r="S34" s="40" t="str">
        <f t="shared" si="62"/>
        <v>QHBoxLayout2</v>
      </c>
      <c r="T34" s="40">
        <f t="shared" si="15"/>
        <v>1</v>
      </c>
      <c r="V34" s="11" t="str">
        <f t="shared" ref="V34:V36" si="64">H34</f>
        <v>NULL</v>
      </c>
      <c r="W34" s="11">
        <f t="shared" ref="W34:W36" si="65">I34</f>
        <v>2</v>
      </c>
      <c r="X34" s="11" t="str">
        <f t="shared" ref="X34:X36" si="66">O34</f>
        <v>NULL</v>
      </c>
      <c r="Y34" s="13">
        <v>0</v>
      </c>
      <c r="Z34" s="11" t="str">
        <f t="shared" ref="Z34:Z36" si="67">B34</f>
        <v>QHBoxLayout</v>
      </c>
      <c r="AA34" s="11">
        <f>W34</f>
        <v>2</v>
      </c>
      <c r="AB34" s="11" t="str">
        <f t="shared" ref="AB34:AB36" si="68">L34</f>
        <v>GuiF</v>
      </c>
    </row>
    <row r="35" spans="1:28" s="11" customFormat="1" x14ac:dyDescent="0.15">
      <c r="A35" s="34">
        <f t="shared" si="10"/>
        <v>34</v>
      </c>
      <c r="B35" s="34" t="s">
        <v>25</v>
      </c>
      <c r="C35" s="34" t="s">
        <v>26</v>
      </c>
      <c r="D35" s="34">
        <v>2</v>
      </c>
      <c r="E35" s="34">
        <v>0</v>
      </c>
      <c r="F35" s="34">
        <v>1</v>
      </c>
      <c r="G35" s="34">
        <v>2</v>
      </c>
      <c r="H35" s="34" t="s">
        <v>26</v>
      </c>
      <c r="I35" s="34">
        <v>2</v>
      </c>
      <c r="J35" s="34" t="s">
        <v>26</v>
      </c>
      <c r="K35" s="34" t="s">
        <v>26</v>
      </c>
      <c r="L35" s="42" t="s">
        <v>41</v>
      </c>
      <c r="M35" s="34">
        <f>A34</f>
        <v>33</v>
      </c>
      <c r="N35" s="34">
        <f>A35-1</f>
        <v>33</v>
      </c>
      <c r="O35" s="34" t="s">
        <v>26</v>
      </c>
      <c r="P35" s="34" t="s">
        <v>26</v>
      </c>
      <c r="Q35" s="34" t="s">
        <v>26</v>
      </c>
      <c r="R35" s="28"/>
      <c r="S35" s="40" t="str">
        <f t="shared" si="62"/>
        <v>QGridLayout2</v>
      </c>
      <c r="T35" s="40">
        <f t="shared" si="15"/>
        <v>1</v>
      </c>
      <c r="V35" s="11" t="str">
        <f t="shared" si="64"/>
        <v>Null</v>
      </c>
      <c r="W35" s="11">
        <f t="shared" si="65"/>
        <v>2</v>
      </c>
      <c r="X35" s="11" t="str">
        <f t="shared" si="66"/>
        <v>Null</v>
      </c>
      <c r="Y35" s="12" t="s">
        <v>40</v>
      </c>
      <c r="Z35" s="11" t="str">
        <f t="shared" si="67"/>
        <v>QGridLayout</v>
      </c>
      <c r="AA35" s="11">
        <f>I35</f>
        <v>2</v>
      </c>
      <c r="AB35" s="11" t="str">
        <f t="shared" si="68"/>
        <v>GuiF</v>
      </c>
    </row>
    <row r="36" spans="1:28" s="11" customFormat="1" x14ac:dyDescent="0.15">
      <c r="A36" s="13">
        <f t="shared" si="10"/>
        <v>35</v>
      </c>
      <c r="B36" s="13" t="s">
        <v>27</v>
      </c>
      <c r="C36" s="50" t="s">
        <v>57</v>
      </c>
      <c r="D36" s="13">
        <v>2</v>
      </c>
      <c r="E36" s="13">
        <v>0</v>
      </c>
      <c r="F36" s="13">
        <v>1</v>
      </c>
      <c r="G36" s="13">
        <v>2</v>
      </c>
      <c r="H36" s="13" t="s">
        <v>26</v>
      </c>
      <c r="I36" s="13">
        <f>I34+1</f>
        <v>3</v>
      </c>
      <c r="J36" s="13">
        <f t="shared" ref="J36" si="69">I34</f>
        <v>2</v>
      </c>
      <c r="K36" s="50" t="s">
        <v>60</v>
      </c>
      <c r="L36" s="12" t="s">
        <v>41</v>
      </c>
      <c r="M36" s="13" t="s">
        <v>26</v>
      </c>
      <c r="N36" s="13" t="s">
        <v>26</v>
      </c>
      <c r="O36" s="13" t="s">
        <v>26</v>
      </c>
      <c r="P36" s="13">
        <v>0</v>
      </c>
      <c r="Q36" s="13" t="s">
        <v>26</v>
      </c>
      <c r="S36" s="40" t="str">
        <f t="shared" si="62"/>
        <v>QGroupBox3</v>
      </c>
      <c r="T36" s="40">
        <f t="shared" si="15"/>
        <v>1</v>
      </c>
      <c r="V36" s="11" t="str">
        <f t="shared" si="64"/>
        <v>Null</v>
      </c>
      <c r="W36" s="11">
        <f t="shared" si="65"/>
        <v>3</v>
      </c>
      <c r="X36" s="11" t="str">
        <f t="shared" si="66"/>
        <v>Null</v>
      </c>
      <c r="Y36" s="12" t="s">
        <v>40</v>
      </c>
      <c r="Z36" s="11" t="str">
        <f t="shared" si="67"/>
        <v>QGroupBox</v>
      </c>
      <c r="AA36" s="11">
        <f>W36</f>
        <v>3</v>
      </c>
      <c r="AB36" s="11" t="str">
        <f t="shared" si="68"/>
        <v>GuiF</v>
      </c>
    </row>
    <row r="37" spans="1:28" s="11" customFormat="1" x14ac:dyDescent="0.15">
      <c r="A37" s="35">
        <f t="shared" si="10"/>
        <v>36</v>
      </c>
      <c r="B37" s="35" t="s">
        <v>25</v>
      </c>
      <c r="C37" s="35" t="s">
        <v>26</v>
      </c>
      <c r="D37" s="35">
        <v>3</v>
      </c>
      <c r="E37" s="35">
        <v>0</v>
      </c>
      <c r="F37" s="35">
        <v>1</v>
      </c>
      <c r="G37" s="35">
        <v>1</v>
      </c>
      <c r="H37" s="35" t="s">
        <v>26</v>
      </c>
      <c r="I37" s="35">
        <v>4</v>
      </c>
      <c r="J37" s="35" t="s">
        <v>26</v>
      </c>
      <c r="K37" s="35" t="s">
        <v>26</v>
      </c>
      <c r="L37" s="43" t="s">
        <v>41</v>
      </c>
      <c r="M37" s="35">
        <f>A14</f>
        <v>13</v>
      </c>
      <c r="N37" s="35">
        <f>A14</f>
        <v>13</v>
      </c>
      <c r="O37" s="35" t="s">
        <v>26</v>
      </c>
      <c r="P37" s="35" t="s">
        <v>26</v>
      </c>
      <c r="Q37" s="35" t="s">
        <v>26</v>
      </c>
      <c r="R37" s="29"/>
      <c r="S37" s="40" t="str">
        <f t="shared" si="62"/>
        <v>QGridLayout4</v>
      </c>
      <c r="T37" s="40">
        <f t="shared" si="15"/>
        <v>1</v>
      </c>
      <c r="V37" s="11" t="str">
        <f t="shared" ref="V37:V38" si="70">H37</f>
        <v>Null</v>
      </c>
      <c r="W37" s="11">
        <f t="shared" ref="W37:W38" si="71">I37</f>
        <v>4</v>
      </c>
      <c r="X37" s="11" t="str">
        <f t="shared" ref="X37:X38" si="72">O37</f>
        <v>Null</v>
      </c>
      <c r="Y37" s="12" t="s">
        <v>40</v>
      </c>
      <c r="Z37" s="11" t="str">
        <f t="shared" ref="Z37:Z38" si="73">B37</f>
        <v>QGridLayout</v>
      </c>
      <c r="AA37" s="11">
        <f>I37</f>
        <v>4</v>
      </c>
      <c r="AB37" s="11" t="str">
        <f t="shared" ref="AB37:AB38" si="74">L37</f>
        <v>GuiF</v>
      </c>
    </row>
    <row r="38" spans="1:28" s="11" customFormat="1" x14ac:dyDescent="0.15">
      <c r="A38" s="13">
        <f t="shared" si="10"/>
        <v>37</v>
      </c>
      <c r="B38" s="13" t="s">
        <v>27</v>
      </c>
      <c r="C38" s="50" t="s">
        <v>58</v>
      </c>
      <c r="D38" s="13">
        <v>3</v>
      </c>
      <c r="E38" s="13">
        <v>0</v>
      </c>
      <c r="F38" s="13">
        <v>1</v>
      </c>
      <c r="G38" s="13">
        <v>1</v>
      </c>
      <c r="H38" s="13" t="s">
        <v>26</v>
      </c>
      <c r="I38" s="13">
        <f>I37+1</f>
        <v>5</v>
      </c>
      <c r="J38" s="13">
        <f t="shared" ref="J38" si="75">I37</f>
        <v>4</v>
      </c>
      <c r="K38" s="50" t="s">
        <v>60</v>
      </c>
      <c r="L38" s="12" t="s">
        <v>41</v>
      </c>
      <c r="M38" s="13" t="s">
        <v>26</v>
      </c>
      <c r="N38" s="13" t="s">
        <v>26</v>
      </c>
      <c r="O38" s="13" t="s">
        <v>26</v>
      </c>
      <c r="P38" s="13">
        <v>2</v>
      </c>
      <c r="Q38" s="13" t="s">
        <v>26</v>
      </c>
      <c r="S38" s="40" t="str">
        <f t="shared" si="62"/>
        <v>QGroupBox5</v>
      </c>
      <c r="T38" s="40">
        <f t="shared" si="15"/>
        <v>1</v>
      </c>
      <c r="V38" s="11" t="str">
        <f t="shared" si="70"/>
        <v>Null</v>
      </c>
      <c r="W38" s="11">
        <f t="shared" si="71"/>
        <v>5</v>
      </c>
      <c r="X38" s="11" t="str">
        <f t="shared" si="72"/>
        <v>Null</v>
      </c>
      <c r="Y38" s="12" t="s">
        <v>40</v>
      </c>
      <c r="Z38" s="11" t="str">
        <f t="shared" si="73"/>
        <v>QGroupBox</v>
      </c>
      <c r="AA38" s="11">
        <f>W38</f>
        <v>5</v>
      </c>
      <c r="AB38" s="11" t="str">
        <f t="shared" si="74"/>
        <v>GuiF</v>
      </c>
    </row>
    <row r="39" spans="1:28" s="11" customFormat="1" x14ac:dyDescent="0.15">
      <c r="A39" s="44">
        <f t="shared" si="10"/>
        <v>38</v>
      </c>
      <c r="B39" s="44" t="s">
        <v>25</v>
      </c>
      <c r="C39" s="44" t="s">
        <v>26</v>
      </c>
      <c r="D39" s="44">
        <v>3</v>
      </c>
      <c r="E39" s="44">
        <v>1</v>
      </c>
      <c r="F39" s="44">
        <v>1</v>
      </c>
      <c r="G39" s="44">
        <v>1</v>
      </c>
      <c r="H39" s="44" t="s">
        <v>26</v>
      </c>
      <c r="I39" s="44">
        <v>5</v>
      </c>
      <c r="J39" s="44" t="s">
        <v>26</v>
      </c>
      <c r="K39" s="44" t="s">
        <v>26</v>
      </c>
      <c r="L39" s="45" t="s">
        <v>41</v>
      </c>
      <c r="M39" s="44">
        <f>A15</f>
        <v>14</v>
      </c>
      <c r="N39" s="44">
        <f>A15</f>
        <v>14</v>
      </c>
      <c r="O39" s="44" t="s">
        <v>26</v>
      </c>
      <c r="P39" s="44" t="s">
        <v>26</v>
      </c>
      <c r="Q39" s="44" t="s">
        <v>26</v>
      </c>
      <c r="R39" s="30"/>
      <c r="S39" s="40" t="str">
        <f t="shared" si="62"/>
        <v>QGridLayout5</v>
      </c>
      <c r="T39" s="40">
        <f t="shared" si="15"/>
        <v>1</v>
      </c>
      <c r="V39" s="11" t="str">
        <f>H39</f>
        <v>Null</v>
      </c>
      <c r="W39" s="11">
        <f>I39</f>
        <v>5</v>
      </c>
      <c r="X39" s="11" t="str">
        <f t="shared" si="32"/>
        <v>Null</v>
      </c>
      <c r="Y39" s="12" t="s">
        <v>40</v>
      </c>
      <c r="Z39" s="11" t="str">
        <f t="shared" si="33"/>
        <v>QGridLayout</v>
      </c>
      <c r="AA39" s="11">
        <f>I39</f>
        <v>5</v>
      </c>
      <c r="AB39" s="11" t="str">
        <f t="shared" si="34"/>
        <v>GuiF</v>
      </c>
    </row>
    <row r="40" spans="1:28" s="11" customFormat="1" x14ac:dyDescent="0.15">
      <c r="A40" s="13">
        <f t="shared" si="10"/>
        <v>39</v>
      </c>
      <c r="B40" s="13" t="s">
        <v>27</v>
      </c>
      <c r="C40" s="50" t="s">
        <v>59</v>
      </c>
      <c r="D40" s="13">
        <v>3</v>
      </c>
      <c r="E40" s="13">
        <v>1</v>
      </c>
      <c r="F40" s="13">
        <v>1</v>
      </c>
      <c r="G40" s="13">
        <v>1</v>
      </c>
      <c r="H40" s="13" t="s">
        <v>26</v>
      </c>
      <c r="I40" s="13">
        <f>I39+1</f>
        <v>6</v>
      </c>
      <c r="J40" s="13">
        <f t="shared" ref="J40" si="76">I39</f>
        <v>5</v>
      </c>
      <c r="K40" s="50" t="s">
        <v>60</v>
      </c>
      <c r="L40" s="12" t="s">
        <v>41</v>
      </c>
      <c r="M40" s="13" t="s">
        <v>26</v>
      </c>
      <c r="N40" s="13" t="s">
        <v>26</v>
      </c>
      <c r="O40" s="13" t="s">
        <v>26</v>
      </c>
      <c r="P40" s="13">
        <v>2</v>
      </c>
      <c r="Q40" s="13" t="s">
        <v>63</v>
      </c>
      <c r="S40" s="40" t="str">
        <f t="shared" si="62"/>
        <v>QGroupBox6</v>
      </c>
      <c r="T40" s="40">
        <f t="shared" si="15"/>
        <v>1</v>
      </c>
      <c r="V40" s="11" t="str">
        <f>H40</f>
        <v>Null</v>
      </c>
      <c r="W40" s="11" t="str">
        <f>Q40</f>
        <v>ChannelGroupCheck</v>
      </c>
      <c r="X40" s="11" t="str">
        <f t="shared" si="32"/>
        <v>Null</v>
      </c>
      <c r="Y40" s="12" t="s">
        <v>40</v>
      </c>
      <c r="Z40" s="11" t="str">
        <f t="shared" si="33"/>
        <v>QGroupBox</v>
      </c>
      <c r="AA40" s="11">
        <f>I40</f>
        <v>6</v>
      </c>
      <c r="AB40" s="11" t="str">
        <f t="shared" si="34"/>
        <v>GuiF</v>
      </c>
    </row>
    <row r="41" spans="1:28" s="13" customFormat="1" x14ac:dyDescent="0.15">
      <c r="A41" s="47">
        <f t="shared" si="10"/>
        <v>40</v>
      </c>
      <c r="B41" s="56" t="s">
        <v>65</v>
      </c>
      <c r="C41" s="47" t="s">
        <v>19</v>
      </c>
      <c r="D41" s="47">
        <v>5</v>
      </c>
      <c r="E41" s="47">
        <v>0</v>
      </c>
      <c r="F41" s="47">
        <v>1</v>
      </c>
      <c r="G41" s="47">
        <v>2</v>
      </c>
      <c r="H41" s="47" t="s">
        <v>19</v>
      </c>
      <c r="I41" s="47">
        <v>6</v>
      </c>
      <c r="J41" s="47" t="s">
        <v>19</v>
      </c>
      <c r="K41" s="47" t="s">
        <v>19</v>
      </c>
      <c r="L41" s="48" t="s">
        <v>41</v>
      </c>
      <c r="M41" s="47">
        <f>A16</f>
        <v>15</v>
      </c>
      <c r="N41" s="47">
        <f>A21</f>
        <v>20</v>
      </c>
      <c r="O41" s="47" t="s">
        <v>19</v>
      </c>
      <c r="P41" s="47" t="s">
        <v>19</v>
      </c>
      <c r="Q41" s="47" t="s">
        <v>19</v>
      </c>
      <c r="R41" s="47"/>
      <c r="S41" s="40" t="str">
        <f t="shared" si="62"/>
        <v>QHBoxLayout_M6</v>
      </c>
      <c r="T41" s="40">
        <f t="shared" si="15"/>
        <v>1</v>
      </c>
      <c r="V41" s="11" t="str">
        <f t="shared" ref="V41" si="77">H41</f>
        <v>NULL</v>
      </c>
      <c r="W41" s="11">
        <f t="shared" ref="W41" si="78">I41</f>
        <v>6</v>
      </c>
      <c r="X41" s="11" t="str">
        <f t="shared" ref="X41" si="79">O41</f>
        <v>NULL</v>
      </c>
      <c r="Y41" s="13">
        <v>0</v>
      </c>
      <c r="Z41" s="11" t="str">
        <f t="shared" ref="Z41" si="80">B41</f>
        <v>QHBoxLayout_M</v>
      </c>
      <c r="AA41" s="11">
        <f>W41</f>
        <v>6</v>
      </c>
      <c r="AB41" s="11" t="str">
        <f t="shared" ref="AB41" si="81">L41</f>
        <v>GuiF</v>
      </c>
    </row>
    <row r="42" spans="1:28" s="11" customFormat="1" x14ac:dyDescent="0.15">
      <c r="A42" s="61">
        <f t="shared" si="10"/>
        <v>41</v>
      </c>
      <c r="B42" s="61" t="s">
        <v>25</v>
      </c>
      <c r="C42" s="61" t="s">
        <v>26</v>
      </c>
      <c r="D42" s="61">
        <v>4</v>
      </c>
      <c r="E42" s="61">
        <v>0</v>
      </c>
      <c r="F42" s="61">
        <v>1</v>
      </c>
      <c r="G42" s="61">
        <v>2</v>
      </c>
      <c r="H42" s="61" t="s">
        <v>26</v>
      </c>
      <c r="I42" s="61">
        <v>50</v>
      </c>
      <c r="J42" s="61" t="s">
        <v>26</v>
      </c>
      <c r="K42" s="61" t="s">
        <v>26</v>
      </c>
      <c r="L42" s="62" t="s">
        <v>41</v>
      </c>
      <c r="M42" s="61">
        <f>A22</f>
        <v>21</v>
      </c>
      <c r="N42" s="61">
        <f>A31</f>
        <v>30</v>
      </c>
      <c r="O42" s="61" t="s">
        <v>26</v>
      </c>
      <c r="P42" s="61" t="s">
        <v>26</v>
      </c>
      <c r="Q42" s="61" t="s">
        <v>26</v>
      </c>
      <c r="R42" s="27"/>
      <c r="S42" s="40" t="str">
        <f t="shared" si="62"/>
        <v>QGridLayout50</v>
      </c>
      <c r="T42" s="40">
        <f t="shared" si="15"/>
        <v>1</v>
      </c>
      <c r="V42" s="11" t="str">
        <f t="shared" ref="V42:V43" si="82">H42</f>
        <v>Null</v>
      </c>
      <c r="W42" s="11">
        <f t="shared" ref="W42" si="83">I42</f>
        <v>50</v>
      </c>
      <c r="X42" s="11" t="str">
        <f t="shared" ref="X42:X43" si="84">O42</f>
        <v>Null</v>
      </c>
      <c r="Y42" s="12" t="s">
        <v>40</v>
      </c>
      <c r="Z42" s="11" t="str">
        <f t="shared" ref="Z42:Z43" si="85">B42</f>
        <v>QGridLayout</v>
      </c>
      <c r="AA42" s="11">
        <f>I42</f>
        <v>50</v>
      </c>
      <c r="AB42" s="11" t="str">
        <f t="shared" ref="AB42:AB43" si="86">L42</f>
        <v>GuiF</v>
      </c>
    </row>
    <row r="43" spans="1:28" s="11" customFormat="1" x14ac:dyDescent="0.15">
      <c r="A43" s="13">
        <f t="shared" si="10"/>
        <v>42</v>
      </c>
      <c r="B43" s="50" t="s">
        <v>79</v>
      </c>
      <c r="C43" s="50" t="s">
        <v>80</v>
      </c>
      <c r="D43" s="13">
        <v>4</v>
      </c>
      <c r="E43" s="13">
        <v>0</v>
      </c>
      <c r="F43" s="13">
        <v>1</v>
      </c>
      <c r="G43" s="13">
        <v>2</v>
      </c>
      <c r="H43" s="13" t="s">
        <v>26</v>
      </c>
      <c r="I43" s="13">
        <f>I42+1</f>
        <v>51</v>
      </c>
      <c r="J43" s="13">
        <f t="shared" ref="J43" si="87">I42</f>
        <v>50</v>
      </c>
      <c r="K43" s="50" t="s">
        <v>60</v>
      </c>
      <c r="L43" s="12" t="s">
        <v>41</v>
      </c>
      <c r="M43" s="13">
        <f>M42</f>
        <v>21</v>
      </c>
      <c r="N43" s="13">
        <f>N42</f>
        <v>30</v>
      </c>
      <c r="O43" s="13" t="s">
        <v>26</v>
      </c>
      <c r="P43" s="13">
        <v>0</v>
      </c>
      <c r="Q43" s="50" t="s">
        <v>81</v>
      </c>
      <c r="S43" s="40" t="str">
        <f t="shared" si="62"/>
        <v>QGroupBox_E51</v>
      </c>
      <c r="T43" s="40">
        <f t="shared" si="15"/>
        <v>1</v>
      </c>
      <c r="V43" s="11" t="str">
        <f t="shared" si="82"/>
        <v>Null</v>
      </c>
      <c r="W43" s="11" t="str">
        <f>Q43</f>
        <v>AdvancedSetting</v>
      </c>
      <c r="X43" s="11" t="str">
        <f t="shared" si="84"/>
        <v>Null</v>
      </c>
      <c r="Y43" s="12" t="s">
        <v>40</v>
      </c>
      <c r="Z43" s="11" t="str">
        <f t="shared" si="85"/>
        <v>QGroupBox_E</v>
      </c>
      <c r="AA43" s="11">
        <f>I43</f>
        <v>51</v>
      </c>
      <c r="AB43" s="11" t="str">
        <f t="shared" si="86"/>
        <v>GuiF</v>
      </c>
    </row>
    <row r="44" spans="1:28" x14ac:dyDescent="0.15">
      <c r="A44" s="7">
        <f t="shared" si="10"/>
        <v>43</v>
      </c>
      <c r="B44" t="s">
        <v>45</v>
      </c>
      <c r="C44" s="4" t="s">
        <v>26</v>
      </c>
      <c r="D44" s="4" t="s">
        <v>26</v>
      </c>
      <c r="E44" s="4" t="s">
        <v>26</v>
      </c>
      <c r="F44" s="4" t="s">
        <v>26</v>
      </c>
      <c r="G44" s="4" t="s">
        <v>26</v>
      </c>
      <c r="H44" t="s">
        <v>46</v>
      </c>
      <c r="I44">
        <v>100</v>
      </c>
      <c r="J44" s="4" t="s">
        <v>19</v>
      </c>
      <c r="K44" s="4" t="s">
        <v>19</v>
      </c>
      <c r="L44" s="6" t="s">
        <v>41</v>
      </c>
      <c r="M44">
        <v>0</v>
      </c>
      <c r="N44" s="4" t="s">
        <v>47</v>
      </c>
      <c r="O44" s="4" t="s">
        <v>48</v>
      </c>
      <c r="P44" s="4" t="s">
        <v>47</v>
      </c>
      <c r="Q44" s="9" t="s">
        <v>82</v>
      </c>
      <c r="S44" s="40" t="str">
        <f t="shared" ref="S44:S47" si="88">B44&amp;M44</f>
        <v>UserDefined0</v>
      </c>
      <c r="T44" s="40">
        <f t="shared" si="15"/>
        <v>1</v>
      </c>
      <c r="V44" t="str">
        <f>H44</f>
        <v>PathFile</v>
      </c>
      <c r="W44">
        <f>I44</f>
        <v>100</v>
      </c>
      <c r="X44" t="str">
        <f t="shared" si="32"/>
        <v>OutPutPath</v>
      </c>
      <c r="Y44" s="4" t="str">
        <f>Q44</f>
        <v>NULL</v>
      </c>
      <c r="Z44" t="str">
        <f t="shared" si="33"/>
        <v>UserDefined</v>
      </c>
      <c r="AA44">
        <f>M:M</f>
        <v>0</v>
      </c>
      <c r="AB44" t="str">
        <f t="shared" si="34"/>
        <v>GuiF</v>
      </c>
    </row>
    <row r="45" spans="1:28" x14ac:dyDescent="0.15">
      <c r="A45" s="7">
        <f t="shared" si="10"/>
        <v>44</v>
      </c>
      <c r="B45" t="s">
        <v>45</v>
      </c>
      <c r="C45" s="4" t="s">
        <v>26</v>
      </c>
      <c r="D45" s="4" t="s">
        <v>26</v>
      </c>
      <c r="E45" s="4" t="s">
        <v>26</v>
      </c>
      <c r="F45" s="4" t="s">
        <v>26</v>
      </c>
      <c r="G45" s="4" t="s">
        <v>26</v>
      </c>
      <c r="H45" t="s">
        <v>46</v>
      </c>
      <c r="I45">
        <v>101</v>
      </c>
      <c r="J45" s="4" t="s">
        <v>19</v>
      </c>
      <c r="K45" s="4" t="s">
        <v>19</v>
      </c>
      <c r="L45" s="6" t="s">
        <v>41</v>
      </c>
      <c r="M45">
        <v>1</v>
      </c>
      <c r="N45" s="4" t="s">
        <v>47</v>
      </c>
      <c r="O45" s="4" t="s">
        <v>49</v>
      </c>
      <c r="P45" s="4" t="s">
        <v>47</v>
      </c>
      <c r="Q45" s="4" t="s">
        <v>47</v>
      </c>
      <c r="S45" s="40" t="str">
        <f t="shared" si="88"/>
        <v>UserDefined1</v>
      </c>
      <c r="T45" s="40">
        <f t="shared" si="15"/>
        <v>1</v>
      </c>
      <c r="V45" t="str">
        <f>H45</f>
        <v>PathFile</v>
      </c>
      <c r="W45">
        <f>I45</f>
        <v>101</v>
      </c>
      <c r="X45" t="str">
        <f t="shared" si="32"/>
        <v>MainPath</v>
      </c>
      <c r="Y45" s="4" t="s">
        <v>17</v>
      </c>
      <c r="Z45" t="str">
        <f t="shared" si="33"/>
        <v>UserDefined</v>
      </c>
      <c r="AA45">
        <f>M:M</f>
        <v>1</v>
      </c>
      <c r="AB45" t="str">
        <f t="shared" si="34"/>
        <v>GuiF</v>
      </c>
    </row>
    <row r="46" spans="1:28" x14ac:dyDescent="0.15">
      <c r="A46" s="7">
        <f t="shared" si="10"/>
        <v>45</v>
      </c>
      <c r="B46" t="s">
        <v>45</v>
      </c>
      <c r="C46" s="4" t="s">
        <v>26</v>
      </c>
      <c r="D46" s="4" t="s">
        <v>26</v>
      </c>
      <c r="E46" s="4" t="s">
        <v>26</v>
      </c>
      <c r="F46" s="4" t="s">
        <v>26</v>
      </c>
      <c r="G46" s="4" t="s">
        <v>26</v>
      </c>
      <c r="H46" s="4" t="s">
        <v>101</v>
      </c>
      <c r="I46">
        <v>102</v>
      </c>
      <c r="J46" s="4" t="s">
        <v>19</v>
      </c>
      <c r="K46" s="4" t="s">
        <v>19</v>
      </c>
      <c r="L46" s="6" t="s">
        <v>41</v>
      </c>
      <c r="M46">
        <v>2</v>
      </c>
      <c r="N46" s="4" t="s">
        <v>47</v>
      </c>
      <c r="O46" s="4" t="s">
        <v>102</v>
      </c>
      <c r="P46" s="4" t="s">
        <v>47</v>
      </c>
      <c r="Q46" s="4" t="s">
        <v>47</v>
      </c>
      <c r="S46" s="40" t="str">
        <f t="shared" si="88"/>
        <v>UserDefined2</v>
      </c>
      <c r="T46" s="40">
        <f t="shared" si="15"/>
        <v>1</v>
      </c>
      <c r="V46" t="str">
        <f t="shared" ref="V46" si="89">H46</f>
        <v>Buttonstatus</v>
      </c>
      <c r="W46">
        <f t="shared" ref="W46" si="90">I46</f>
        <v>102</v>
      </c>
      <c r="X46" t="str">
        <f t="shared" ref="X46" si="91">O46</f>
        <v>NcodeCalculateStatus</v>
      </c>
      <c r="Y46" s="4" t="s">
        <v>17</v>
      </c>
      <c r="Z46" t="str">
        <f t="shared" ref="Z46" si="92">B46</f>
        <v>UserDefined</v>
      </c>
      <c r="AA46">
        <f>M:M</f>
        <v>2</v>
      </c>
      <c r="AB46" t="str">
        <f t="shared" ref="AB46" si="93">L46</f>
        <v>GuiF</v>
      </c>
    </row>
    <row r="47" spans="1:28" x14ac:dyDescent="0.15">
      <c r="A47" s="7">
        <f t="shared" si="10"/>
        <v>46</v>
      </c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 s="6" t="s">
        <v>41</v>
      </c>
      <c r="M47">
        <v>12</v>
      </c>
      <c r="N47">
        <v>13</v>
      </c>
      <c r="O47">
        <v>14</v>
      </c>
      <c r="P47">
        <v>15</v>
      </c>
      <c r="Q47">
        <v>16</v>
      </c>
      <c r="S47" s="40" t="str">
        <f t="shared" si="88"/>
        <v>112</v>
      </c>
      <c r="T47" s="40">
        <f t="shared" si="15"/>
        <v>1</v>
      </c>
    </row>
  </sheetData>
  <phoneticPr fontId="2" type="noConversion"/>
  <conditionalFormatting sqref="T2:T47">
    <cfRule type="cellIs" dxfId="65" priority="3" operator="lessThan">
      <formula>0.5</formula>
    </cfRule>
    <cfRule type="cellIs" dxfId="64" priority="4" operator="greaterThan">
      <formula>0</formula>
    </cfRule>
  </conditionalFormatting>
  <conditionalFormatting sqref="T1">
    <cfRule type="cellIs" dxfId="63" priority="1" operator="lessThan">
      <formula>0.5</formula>
    </cfRule>
    <cfRule type="cellIs" dxfId="62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123825</xdr:colOff>
                    <xdr:row>0</xdr:row>
                    <xdr:rowOff>38100</xdr:rowOff>
                  </from>
                  <to>
                    <xdr:col>10</xdr:col>
                    <xdr:colOff>1285875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CreateGUICsv">
                <anchor moveWithCells="1" sizeWithCells="1">
                  <from>
                    <xdr:col>10</xdr:col>
                    <xdr:colOff>1609725</xdr:colOff>
                    <xdr:row>0</xdr:row>
                    <xdr:rowOff>19050</xdr:rowOff>
                  </from>
                  <to>
                    <xdr:col>11</xdr:col>
                    <xdr:colOff>19050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31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4" sqref="B24"/>
    </sheetView>
  </sheetViews>
  <sheetFormatPr defaultRowHeight="13.5" x14ac:dyDescent="0.15"/>
  <cols>
    <col min="1" max="1" width="4.25" customWidth="1"/>
    <col min="2" max="2" width="15" bestFit="1" customWidth="1"/>
    <col min="3" max="3" width="16.375" customWidth="1"/>
    <col min="8" max="8" width="12.75" bestFit="1" customWidth="1"/>
    <col min="9" max="9" width="16.75" customWidth="1"/>
    <col min="10" max="10" width="13.875" bestFit="1" customWidth="1"/>
    <col min="11" max="11" width="42.25" customWidth="1"/>
    <col min="12" max="12" width="12.75" bestFit="1" customWidth="1"/>
    <col min="13" max="14" width="16.125" bestFit="1" customWidth="1"/>
    <col min="15" max="15" width="13" customWidth="1"/>
    <col min="16" max="16" width="12.75" bestFit="1" customWidth="1"/>
    <col min="17" max="17" width="21.625" bestFit="1" customWidth="1"/>
    <col min="19" max="19" width="16.125" bestFit="1" customWidth="1"/>
    <col min="20" max="20" width="10.125" customWidth="1"/>
    <col min="21" max="21" width="12.12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2" si="0">H1</f>
        <v>Data_Type</v>
      </c>
      <c r="W1" s="11" t="str">
        <f t="shared" si="0"/>
        <v>Flag</v>
      </c>
      <c r="X1" s="11" t="str">
        <f t="shared" ref="X1:X2" si="1">O1</f>
        <v>Fuzhu_Para3</v>
      </c>
      <c r="Y1" s="39" t="s">
        <v>17</v>
      </c>
      <c r="Z1" s="11" t="str">
        <f t="shared" ref="Z1:Z2" si="2">B1</f>
        <v>TYPE</v>
      </c>
      <c r="AA1" s="11" t="str">
        <f>M:M</f>
        <v>SpecifyTypeNum</v>
      </c>
      <c r="AB1" s="11" t="str">
        <f>AB2</f>
        <v>GuiStudyPro</v>
      </c>
    </row>
    <row r="2" spans="1:28" s="1" customFormat="1" ht="16.5" x14ac:dyDescent="0.15">
      <c r="A2" s="54">
        <f t="shared" ref="A2:A31" si="3">ROW()-1</f>
        <v>1</v>
      </c>
      <c r="B2" s="55" t="s">
        <v>24</v>
      </c>
      <c r="C2" s="52"/>
      <c r="D2" s="52">
        <v>0</v>
      </c>
      <c r="E2" s="52">
        <v>0</v>
      </c>
      <c r="F2" s="52">
        <v>1</v>
      </c>
      <c r="G2" s="52">
        <v>1</v>
      </c>
      <c r="H2" s="55" t="s">
        <v>19</v>
      </c>
      <c r="I2" s="52" t="s">
        <v>82</v>
      </c>
      <c r="J2" s="55" t="s">
        <v>19</v>
      </c>
      <c r="K2" s="52" t="s">
        <v>159</v>
      </c>
      <c r="L2" s="54" t="s">
        <v>132</v>
      </c>
      <c r="M2" s="52">
        <v>0</v>
      </c>
      <c r="N2" s="54" t="s">
        <v>144</v>
      </c>
      <c r="O2" s="55" t="s">
        <v>19</v>
      </c>
      <c r="P2" s="55" t="s">
        <v>19</v>
      </c>
      <c r="Q2" s="55" t="s">
        <v>19</v>
      </c>
      <c r="R2" s="47"/>
      <c r="S2" s="65" t="str">
        <f t="shared" ref="S2" si="4">B2&amp;M2</f>
        <v>QPushButton0</v>
      </c>
      <c r="T2" s="65">
        <f>IF(COUNTIF(S:S,S2)&gt;1,0,1)</f>
        <v>1</v>
      </c>
      <c r="V2" s="66" t="str">
        <f t="shared" si="0"/>
        <v>NULL</v>
      </c>
      <c r="W2" s="66" t="str">
        <f t="shared" si="0"/>
        <v>NULL</v>
      </c>
      <c r="X2" s="66" t="str">
        <f t="shared" si="1"/>
        <v>NULL</v>
      </c>
      <c r="Y2" s="1">
        <v>0</v>
      </c>
      <c r="Z2" s="66" t="str">
        <f t="shared" si="2"/>
        <v>QPushButton</v>
      </c>
      <c r="AA2" s="66">
        <f>M:M</f>
        <v>0</v>
      </c>
      <c r="AB2" s="66" t="str">
        <f t="shared" ref="AB2" si="5">L2</f>
        <v>GuiStudyPro</v>
      </c>
    </row>
    <row r="3" spans="1:28" s="1" customFormat="1" ht="16.5" x14ac:dyDescent="0.15">
      <c r="A3" s="54">
        <f t="shared" si="3"/>
        <v>2</v>
      </c>
      <c r="B3" s="55" t="s">
        <v>24</v>
      </c>
      <c r="C3" s="52"/>
      <c r="D3" s="52">
        <v>0</v>
      </c>
      <c r="E3" s="52">
        <v>1</v>
      </c>
      <c r="F3" s="52">
        <v>1</v>
      </c>
      <c r="G3" s="52">
        <v>1</v>
      </c>
      <c r="H3" s="55" t="s">
        <v>19</v>
      </c>
      <c r="I3" s="52" t="s">
        <v>82</v>
      </c>
      <c r="J3" s="55" t="s">
        <v>19</v>
      </c>
      <c r="K3" s="52" t="s">
        <v>160</v>
      </c>
      <c r="L3" s="54" t="str">
        <f t="shared" ref="L3:L6" si="6">$L$2</f>
        <v>GuiStudyPro</v>
      </c>
      <c r="M3" s="52">
        <v>1</v>
      </c>
      <c r="N3" s="54" t="s">
        <v>136</v>
      </c>
      <c r="O3" s="55" t="s">
        <v>19</v>
      </c>
      <c r="P3" s="55" t="s">
        <v>19</v>
      </c>
      <c r="Q3" s="55" t="s">
        <v>19</v>
      </c>
      <c r="R3" s="47"/>
      <c r="S3" s="65" t="str">
        <f t="shared" ref="S3" si="7">B3&amp;M3</f>
        <v>QPushButton1</v>
      </c>
      <c r="T3" s="65">
        <f>IF(COUNTIF(S:S,S3)&gt;1,0,1)</f>
        <v>1</v>
      </c>
      <c r="V3" s="66" t="str">
        <f t="shared" ref="V3" si="8">H3</f>
        <v>NULL</v>
      </c>
      <c r="W3" s="66" t="str">
        <f t="shared" ref="W3" si="9">I3</f>
        <v>NULL</v>
      </c>
      <c r="X3" s="66" t="str">
        <f t="shared" ref="X3" si="10">O3</f>
        <v>NULL</v>
      </c>
      <c r="Y3" s="1">
        <v>0</v>
      </c>
      <c r="Z3" s="66" t="str">
        <f t="shared" ref="Z3" si="11">B3</f>
        <v>QPushButton</v>
      </c>
      <c r="AA3" s="66">
        <f>M:M</f>
        <v>1</v>
      </c>
      <c r="AB3" s="66" t="str">
        <f t="shared" ref="AB3" si="12">L3</f>
        <v>GuiStudyPro</v>
      </c>
    </row>
    <row r="4" spans="1:28" s="1" customFormat="1" ht="16.5" x14ac:dyDescent="0.15">
      <c r="A4" s="54">
        <f t="shared" si="3"/>
        <v>3</v>
      </c>
      <c r="B4" s="55" t="s">
        <v>24</v>
      </c>
      <c r="C4" s="52"/>
      <c r="D4" s="52">
        <v>0</v>
      </c>
      <c r="E4" s="52">
        <v>2</v>
      </c>
      <c r="F4" s="52">
        <v>1</v>
      </c>
      <c r="G4" s="52">
        <v>1</v>
      </c>
      <c r="H4" s="55" t="s">
        <v>19</v>
      </c>
      <c r="I4" s="52" t="s">
        <v>82</v>
      </c>
      <c r="J4" s="55" t="s">
        <v>19</v>
      </c>
      <c r="K4" s="52" t="s">
        <v>161</v>
      </c>
      <c r="L4" s="54" t="str">
        <f t="shared" si="6"/>
        <v>GuiStudyPro</v>
      </c>
      <c r="M4" s="52">
        <v>2</v>
      </c>
      <c r="N4" s="54" t="s">
        <v>137</v>
      </c>
      <c r="O4" s="55" t="s">
        <v>19</v>
      </c>
      <c r="P4" s="55" t="s">
        <v>19</v>
      </c>
      <c r="Q4" s="55" t="s">
        <v>19</v>
      </c>
      <c r="R4" s="47"/>
      <c r="S4" s="65" t="str">
        <f t="shared" ref="S4" si="13">B4&amp;M4</f>
        <v>QPushButton2</v>
      </c>
      <c r="T4" s="65">
        <f>IF(COUNTIF(S:S,S4)&gt;1,0,1)</f>
        <v>1</v>
      </c>
      <c r="V4" s="66" t="str">
        <f t="shared" ref="V4" si="14">H4</f>
        <v>NULL</v>
      </c>
      <c r="W4" s="66" t="str">
        <f t="shared" ref="W4" si="15">I4</f>
        <v>NULL</v>
      </c>
      <c r="X4" s="66" t="str">
        <f t="shared" ref="X4" si="16">O4</f>
        <v>NULL</v>
      </c>
      <c r="Y4" s="1">
        <v>0</v>
      </c>
      <c r="Z4" s="66" t="str">
        <f t="shared" ref="Z4" si="17">B4</f>
        <v>QPushButton</v>
      </c>
      <c r="AA4" s="66">
        <f>M:M</f>
        <v>2</v>
      </c>
      <c r="AB4" s="66" t="str">
        <f t="shared" ref="AB4" si="18">L4</f>
        <v>GuiStudyPro</v>
      </c>
    </row>
    <row r="5" spans="1:28" s="1" customFormat="1" ht="16.5" x14ac:dyDescent="0.15">
      <c r="A5" s="54">
        <f t="shared" si="3"/>
        <v>4</v>
      </c>
      <c r="B5" s="55" t="s">
        <v>24</v>
      </c>
      <c r="C5" s="52"/>
      <c r="D5" s="52">
        <v>0</v>
      </c>
      <c r="E5" s="52">
        <v>3</v>
      </c>
      <c r="F5" s="52">
        <v>1</v>
      </c>
      <c r="G5" s="52">
        <v>1</v>
      </c>
      <c r="H5" s="55" t="s">
        <v>19</v>
      </c>
      <c r="I5" s="52" t="s">
        <v>82</v>
      </c>
      <c r="J5" s="55" t="s">
        <v>19</v>
      </c>
      <c r="K5" s="52" t="s">
        <v>162</v>
      </c>
      <c r="L5" s="54" t="str">
        <f t="shared" si="6"/>
        <v>GuiStudyPro</v>
      </c>
      <c r="M5" s="52">
        <v>3</v>
      </c>
      <c r="N5" s="54" t="s">
        <v>138</v>
      </c>
      <c r="O5" s="55" t="s">
        <v>19</v>
      </c>
      <c r="P5" s="55" t="s">
        <v>19</v>
      </c>
      <c r="Q5" s="55" t="s">
        <v>19</v>
      </c>
      <c r="R5" s="47"/>
      <c r="S5" s="65" t="str">
        <f t="shared" ref="S5" si="19">B5&amp;M5</f>
        <v>QPushButton3</v>
      </c>
      <c r="T5" s="65">
        <f>IF(COUNTIF(S:S,S5)&gt;1,0,1)</f>
        <v>1</v>
      </c>
      <c r="V5" s="66" t="str">
        <f t="shared" ref="V5" si="20">H5</f>
        <v>NULL</v>
      </c>
      <c r="W5" s="66" t="str">
        <f t="shared" ref="W5" si="21">I5</f>
        <v>NULL</v>
      </c>
      <c r="X5" s="66" t="str">
        <f t="shared" ref="X5" si="22">O5</f>
        <v>NULL</v>
      </c>
      <c r="Y5" s="1">
        <v>0</v>
      </c>
      <c r="Z5" s="66" t="str">
        <f t="shared" ref="Z5" si="23">B5</f>
        <v>QPushButton</v>
      </c>
      <c r="AA5" s="66">
        <f>M:M</f>
        <v>3</v>
      </c>
      <c r="AB5" s="66" t="str">
        <f t="shared" ref="AB5" si="24">L5</f>
        <v>GuiStudyPro</v>
      </c>
    </row>
    <row r="6" spans="1:28" s="1" customFormat="1" ht="16.5" x14ac:dyDescent="0.15">
      <c r="A6" s="54">
        <f t="shared" si="3"/>
        <v>5</v>
      </c>
      <c r="B6" s="55" t="s">
        <v>24</v>
      </c>
      <c r="C6" s="52"/>
      <c r="D6" s="52">
        <v>0</v>
      </c>
      <c r="E6" s="52">
        <v>4</v>
      </c>
      <c r="F6" s="52">
        <v>1</v>
      </c>
      <c r="G6" s="52">
        <v>1</v>
      </c>
      <c r="H6" s="55" t="s">
        <v>19</v>
      </c>
      <c r="I6" s="52" t="s">
        <v>82</v>
      </c>
      <c r="J6" s="55" t="s">
        <v>19</v>
      </c>
      <c r="K6" s="52" t="s">
        <v>163</v>
      </c>
      <c r="L6" s="54" t="str">
        <f t="shared" si="6"/>
        <v>GuiStudyPro</v>
      </c>
      <c r="M6" s="52">
        <v>4</v>
      </c>
      <c r="N6" s="54" t="s">
        <v>158</v>
      </c>
      <c r="O6" s="55" t="s">
        <v>19</v>
      </c>
      <c r="P6" s="55" t="s">
        <v>19</v>
      </c>
      <c r="Q6" s="55" t="s">
        <v>19</v>
      </c>
      <c r="R6" s="47"/>
      <c r="S6" s="65" t="str">
        <f t="shared" ref="S6" si="25">B6&amp;M6</f>
        <v>QPushButton4</v>
      </c>
      <c r="T6" s="65">
        <f>IF(COUNTIF(S:S,S6)&gt;1,0,1)</f>
        <v>1</v>
      </c>
      <c r="V6" s="66" t="str">
        <f t="shared" ref="V6" si="26">H6</f>
        <v>NULL</v>
      </c>
      <c r="W6" s="66" t="str">
        <f t="shared" ref="W6" si="27">I6</f>
        <v>NULL</v>
      </c>
      <c r="X6" s="66" t="str">
        <f t="shared" ref="X6" si="28">O6</f>
        <v>NULL</v>
      </c>
      <c r="Y6" s="1">
        <v>0</v>
      </c>
      <c r="Z6" s="66" t="str">
        <f t="shared" ref="Z6" si="29">B6</f>
        <v>QPushButton</v>
      </c>
      <c r="AA6" s="66">
        <f>M:M</f>
        <v>4</v>
      </c>
      <c r="AB6" s="66" t="str">
        <f t="shared" ref="AB6" si="30">L6</f>
        <v>GuiStudyPro</v>
      </c>
    </row>
    <row r="7" spans="1:28" s="1" customFormat="1" ht="16.5" x14ac:dyDescent="0.15">
      <c r="A7" s="54">
        <f t="shared" si="3"/>
        <v>6</v>
      </c>
      <c r="B7" s="55" t="s">
        <v>24</v>
      </c>
      <c r="C7" s="52"/>
      <c r="D7" s="52">
        <v>0</v>
      </c>
      <c r="E7" s="52">
        <v>5</v>
      </c>
      <c r="F7" s="52">
        <v>1</v>
      </c>
      <c r="G7" s="52">
        <v>1</v>
      </c>
      <c r="H7" s="55" t="s">
        <v>19</v>
      </c>
      <c r="I7" s="52" t="s">
        <v>82</v>
      </c>
      <c r="J7" s="55" t="s">
        <v>19</v>
      </c>
      <c r="K7" s="52" t="s">
        <v>164</v>
      </c>
      <c r="L7" s="54" t="str">
        <f t="shared" ref="L7:L31" si="31">$L$2</f>
        <v>GuiStudyPro</v>
      </c>
      <c r="M7" s="52">
        <v>5</v>
      </c>
      <c r="N7" s="54" t="s">
        <v>139</v>
      </c>
      <c r="O7" s="55" t="s">
        <v>19</v>
      </c>
      <c r="P7" s="55" t="s">
        <v>19</v>
      </c>
      <c r="Q7" s="55" t="s">
        <v>19</v>
      </c>
      <c r="R7" s="47"/>
      <c r="S7" s="65" t="str">
        <f t="shared" ref="S7" si="32">B7&amp;M7</f>
        <v>QPushButton5</v>
      </c>
      <c r="T7" s="65">
        <f>IF(COUNTIF(S:S,S7)&gt;1,0,1)</f>
        <v>1</v>
      </c>
      <c r="V7" s="66" t="str">
        <f t="shared" ref="V7" si="33">H7</f>
        <v>NULL</v>
      </c>
      <c r="W7" s="66" t="str">
        <f t="shared" ref="W7" si="34">I7</f>
        <v>NULL</v>
      </c>
      <c r="X7" s="66" t="str">
        <f t="shared" ref="X7" si="35">O7</f>
        <v>NULL</v>
      </c>
      <c r="Y7" s="1">
        <v>0</v>
      </c>
      <c r="Z7" s="66" t="str">
        <f t="shared" ref="Z7" si="36">B7</f>
        <v>QPushButton</v>
      </c>
      <c r="AA7" s="66">
        <f>M:M</f>
        <v>5</v>
      </c>
      <c r="AB7" s="66" t="str">
        <f t="shared" ref="AB7" si="37">L7</f>
        <v>GuiStudyPro</v>
      </c>
    </row>
    <row r="8" spans="1:28" s="66" customFormat="1" ht="16.5" x14ac:dyDescent="0.15">
      <c r="A8" s="54">
        <f t="shared" si="3"/>
        <v>7</v>
      </c>
      <c r="B8" s="55" t="s">
        <v>30</v>
      </c>
      <c r="C8" s="55" t="s">
        <v>19</v>
      </c>
      <c r="D8" s="52">
        <v>0</v>
      </c>
      <c r="E8" s="52">
        <v>6</v>
      </c>
      <c r="F8" s="52">
        <v>1</v>
      </c>
      <c r="G8" s="52">
        <v>1</v>
      </c>
      <c r="H8" s="55" t="s">
        <v>19</v>
      </c>
      <c r="I8" s="55" t="s">
        <v>19</v>
      </c>
      <c r="J8" s="55" t="s">
        <v>19</v>
      </c>
      <c r="K8" s="55" t="s">
        <v>19</v>
      </c>
      <c r="L8" s="54" t="str">
        <f t="shared" si="31"/>
        <v>GuiStudyPro</v>
      </c>
      <c r="M8" s="52">
        <v>0</v>
      </c>
      <c r="N8" s="55" t="s">
        <v>19</v>
      </c>
      <c r="O8" s="55" t="s">
        <v>19</v>
      </c>
      <c r="P8" s="55" t="s">
        <v>19</v>
      </c>
      <c r="Q8" s="55" t="s">
        <v>19</v>
      </c>
      <c r="R8" s="26"/>
      <c r="S8" s="65" t="str">
        <f t="shared" ref="S8:S10" si="38">B8&amp;M8</f>
        <v>QSpacerItem0</v>
      </c>
      <c r="T8" s="65">
        <f>IF(COUNTIF(S:S,S8)&gt;1,0,1)</f>
        <v>1</v>
      </c>
      <c r="V8" s="66" t="str">
        <f t="shared" ref="V8:W10" si="39">H8</f>
        <v>NULL</v>
      </c>
      <c r="W8" s="66" t="str">
        <f t="shared" ref="W8" si="40">I8</f>
        <v>NULL</v>
      </c>
      <c r="X8" s="66" t="str">
        <f t="shared" ref="X8:X10" si="41">O8</f>
        <v>NULL</v>
      </c>
      <c r="Y8" s="66">
        <v>13</v>
      </c>
      <c r="Z8" s="66" t="str">
        <f t="shared" ref="Z8:Z10" si="42">B8</f>
        <v>QSpacerItem</v>
      </c>
      <c r="AA8" s="66">
        <f>M:M</f>
        <v>0</v>
      </c>
      <c r="AB8" s="66" t="str">
        <f t="shared" ref="AB8:AB10" si="43">L8</f>
        <v>GuiStudyPro</v>
      </c>
    </row>
    <row r="9" spans="1:28" s="13" customFormat="1" ht="16.5" x14ac:dyDescent="0.15">
      <c r="A9" s="54">
        <f t="shared" si="3"/>
        <v>8</v>
      </c>
      <c r="B9" s="55" t="s">
        <v>22</v>
      </c>
      <c r="C9" s="54" t="s">
        <v>106</v>
      </c>
      <c r="D9" s="52">
        <v>0</v>
      </c>
      <c r="E9" s="52">
        <v>7</v>
      </c>
      <c r="F9" s="52">
        <v>1</v>
      </c>
      <c r="G9" s="52">
        <v>1</v>
      </c>
      <c r="H9" s="54" t="s">
        <v>148</v>
      </c>
      <c r="I9" s="54">
        <v>100</v>
      </c>
      <c r="J9" s="55" t="s">
        <v>19</v>
      </c>
      <c r="K9" s="55" t="s">
        <v>19</v>
      </c>
      <c r="L9" s="54" t="str">
        <f>$L$2</f>
        <v>GuiStudyPro</v>
      </c>
      <c r="M9" s="52">
        <v>0</v>
      </c>
      <c r="N9" s="55" t="s">
        <v>19</v>
      </c>
      <c r="O9" s="52" t="s">
        <v>150</v>
      </c>
      <c r="P9" s="55" t="s">
        <v>19</v>
      </c>
      <c r="Q9" s="55" t="s">
        <v>19</v>
      </c>
      <c r="R9" s="47"/>
      <c r="S9" s="40" t="str">
        <f t="shared" si="38"/>
        <v>QLineEdit0</v>
      </c>
      <c r="T9" s="40">
        <f>IF(COUNTIF(S:S,S9)&gt;1,0,1)</f>
        <v>1</v>
      </c>
      <c r="V9" s="11" t="str">
        <f t="shared" si="39"/>
        <v>StudyCode</v>
      </c>
      <c r="W9" s="11">
        <f t="shared" si="39"/>
        <v>100</v>
      </c>
      <c r="X9" s="11" t="str">
        <f t="shared" si="41"/>
        <v>Code file</v>
      </c>
      <c r="Y9" s="13">
        <v>0</v>
      </c>
      <c r="Z9" s="11" t="str">
        <f t="shared" si="42"/>
        <v>QLineEdit</v>
      </c>
      <c r="AA9" s="11">
        <f>M:M</f>
        <v>0</v>
      </c>
      <c r="AB9" s="11" t="str">
        <f t="shared" si="43"/>
        <v>GuiStudyPro</v>
      </c>
    </row>
    <row r="10" spans="1:28" s="1" customFormat="1" ht="16.5" x14ac:dyDescent="0.15">
      <c r="A10" s="54">
        <f t="shared" si="3"/>
        <v>9</v>
      </c>
      <c r="B10" s="55" t="s">
        <v>24</v>
      </c>
      <c r="C10" s="52"/>
      <c r="D10" s="52">
        <v>0</v>
      </c>
      <c r="E10" s="52">
        <v>8</v>
      </c>
      <c r="F10" s="52">
        <v>1</v>
      </c>
      <c r="G10" s="52">
        <v>1</v>
      </c>
      <c r="H10" s="55" t="s">
        <v>19</v>
      </c>
      <c r="I10" s="52" t="s">
        <v>82</v>
      </c>
      <c r="J10" s="55" t="s">
        <v>19</v>
      </c>
      <c r="K10" s="52" t="s">
        <v>165</v>
      </c>
      <c r="L10" s="54" t="str">
        <f t="shared" si="31"/>
        <v>GuiStudyPro</v>
      </c>
      <c r="M10" s="52">
        <v>6</v>
      </c>
      <c r="N10" s="54" t="s">
        <v>166</v>
      </c>
      <c r="O10" s="55" t="s">
        <v>19</v>
      </c>
      <c r="P10" s="55" t="s">
        <v>19</v>
      </c>
      <c r="Q10" s="55" t="s">
        <v>19</v>
      </c>
      <c r="R10" s="47"/>
      <c r="S10" s="65" t="str">
        <f t="shared" si="38"/>
        <v>QPushButton6</v>
      </c>
      <c r="T10" s="65">
        <f>IF(COUNTIF(S:S,S10)&gt;1,0,1)</f>
        <v>1</v>
      </c>
      <c r="V10" s="66" t="str">
        <f t="shared" si="39"/>
        <v>NULL</v>
      </c>
      <c r="W10" s="66" t="str">
        <f t="shared" si="39"/>
        <v>NULL</v>
      </c>
      <c r="X10" s="66" t="str">
        <f t="shared" si="41"/>
        <v>NULL</v>
      </c>
      <c r="Y10" s="1">
        <v>0</v>
      </c>
      <c r="Z10" s="66" t="str">
        <f t="shared" si="42"/>
        <v>QPushButton</v>
      </c>
      <c r="AA10" s="66">
        <f>M:M</f>
        <v>6</v>
      </c>
      <c r="AB10" s="66" t="str">
        <f t="shared" si="43"/>
        <v>GuiStudyPro</v>
      </c>
    </row>
    <row r="11" spans="1:28" s="1" customFormat="1" ht="16.5" x14ac:dyDescent="0.15">
      <c r="A11" s="58">
        <f t="shared" si="3"/>
        <v>10</v>
      </c>
      <c r="B11" s="58" t="s">
        <v>152</v>
      </c>
      <c r="C11" s="58" t="s">
        <v>106</v>
      </c>
      <c r="D11" s="60">
        <v>0</v>
      </c>
      <c r="E11" s="60">
        <v>0</v>
      </c>
      <c r="F11" s="60">
        <v>1</v>
      </c>
      <c r="G11" s="60">
        <v>1</v>
      </c>
      <c r="H11" s="58" t="s">
        <v>135</v>
      </c>
      <c r="I11" s="76" t="s">
        <v>88</v>
      </c>
      <c r="J11" s="76" t="s">
        <v>89</v>
      </c>
      <c r="K11" s="60" t="s">
        <v>151</v>
      </c>
      <c r="L11" s="58" t="str">
        <f t="shared" si="31"/>
        <v>GuiStudyPro</v>
      </c>
      <c r="M11" s="60">
        <v>0</v>
      </c>
      <c r="N11" s="59" t="s">
        <v>19</v>
      </c>
      <c r="O11" s="60" t="s">
        <v>149</v>
      </c>
      <c r="P11" s="59" t="s">
        <v>19</v>
      </c>
      <c r="Q11" s="59" t="s">
        <v>19</v>
      </c>
      <c r="R11" s="61"/>
      <c r="S11" s="65" t="str">
        <f t="shared" ref="S11:S20" si="44">B11&amp;M11</f>
        <v>QTextEdit0</v>
      </c>
      <c r="T11" s="65">
        <f>IF(COUNTIF(S:S,S11)&gt;1,0,1)</f>
        <v>1</v>
      </c>
      <c r="V11" s="66" t="str">
        <f t="shared" ref="V11:W15" si="45">H11</f>
        <v>StudyCode</v>
      </c>
      <c r="W11" s="66" t="str">
        <f t="shared" si="45"/>
        <v>AlignLeft</v>
      </c>
      <c r="X11" s="66" t="str">
        <f t="shared" ref="X11:X28" si="46">O11</f>
        <v>Origin code</v>
      </c>
      <c r="Y11" s="1">
        <v>0</v>
      </c>
      <c r="Z11" s="66" t="str">
        <f t="shared" ref="Z11:Z28" si="47">B11</f>
        <v>QTextEdit</v>
      </c>
      <c r="AA11" s="66">
        <f>M:M</f>
        <v>0</v>
      </c>
      <c r="AB11" s="66" t="str">
        <f t="shared" ref="AB11:AB28" si="48">L11</f>
        <v>GuiStudyPro</v>
      </c>
    </row>
    <row r="12" spans="1:28" s="1" customFormat="1" ht="16.5" x14ac:dyDescent="0.15">
      <c r="A12" s="31">
        <f t="shared" si="3"/>
        <v>11</v>
      </c>
      <c r="B12" s="32" t="s">
        <v>24</v>
      </c>
      <c r="C12" s="33" t="s">
        <v>168</v>
      </c>
      <c r="D12" s="33">
        <v>0</v>
      </c>
      <c r="E12" s="33">
        <v>0</v>
      </c>
      <c r="F12" s="33">
        <v>1</v>
      </c>
      <c r="G12" s="33">
        <v>1</v>
      </c>
      <c r="H12" s="32" t="s">
        <v>19</v>
      </c>
      <c r="I12" s="33" t="s">
        <v>82</v>
      </c>
      <c r="J12" s="32" t="s">
        <v>19</v>
      </c>
      <c r="K12" s="33" t="s">
        <v>19</v>
      </c>
      <c r="L12" s="31" t="str">
        <f t="shared" si="31"/>
        <v>GuiStudyPro</v>
      </c>
      <c r="M12" s="33">
        <v>10</v>
      </c>
      <c r="N12" s="31" t="s">
        <v>136</v>
      </c>
      <c r="O12" s="32" t="s">
        <v>19</v>
      </c>
      <c r="P12" s="32" t="s">
        <v>19</v>
      </c>
      <c r="Q12" s="32" t="s">
        <v>19</v>
      </c>
      <c r="R12" s="34"/>
      <c r="S12" s="65" t="str">
        <f t="shared" si="44"/>
        <v>QPushButton10</v>
      </c>
      <c r="T12" s="65">
        <f>IF(COUNTIF(S:S,S12)&gt;1,0,1)</f>
        <v>1</v>
      </c>
      <c r="V12" s="66" t="str">
        <f t="shared" si="45"/>
        <v>NULL</v>
      </c>
      <c r="W12" s="66" t="str">
        <f t="shared" si="45"/>
        <v>NULL</v>
      </c>
      <c r="X12" s="66" t="str">
        <f t="shared" si="46"/>
        <v>NULL</v>
      </c>
      <c r="Y12" s="1">
        <v>0</v>
      </c>
      <c r="Z12" s="66" t="str">
        <f t="shared" si="47"/>
        <v>QPushButton</v>
      </c>
      <c r="AA12" s="66">
        <f>M:M</f>
        <v>10</v>
      </c>
      <c r="AB12" s="66" t="str">
        <f t="shared" si="48"/>
        <v>GuiStudyPro</v>
      </c>
    </row>
    <row r="13" spans="1:28" s="1" customFormat="1" ht="16.5" x14ac:dyDescent="0.15">
      <c r="A13" s="31">
        <f t="shared" si="3"/>
        <v>12</v>
      </c>
      <c r="B13" s="32" t="s">
        <v>24</v>
      </c>
      <c r="C13" s="33" t="s">
        <v>169</v>
      </c>
      <c r="D13" s="33">
        <v>0</v>
      </c>
      <c r="E13" s="33">
        <v>1</v>
      </c>
      <c r="F13" s="33">
        <v>1</v>
      </c>
      <c r="G13" s="33">
        <v>1</v>
      </c>
      <c r="H13" s="32" t="s">
        <v>19</v>
      </c>
      <c r="I13" s="33" t="s">
        <v>82</v>
      </c>
      <c r="J13" s="32" t="s">
        <v>19</v>
      </c>
      <c r="K13" s="33" t="s">
        <v>19</v>
      </c>
      <c r="L13" s="31" t="str">
        <f t="shared" si="31"/>
        <v>GuiStudyPro</v>
      </c>
      <c r="M13" s="33">
        <v>11</v>
      </c>
      <c r="N13" s="31" t="s">
        <v>137</v>
      </c>
      <c r="O13" s="32" t="s">
        <v>19</v>
      </c>
      <c r="P13" s="32" t="s">
        <v>19</v>
      </c>
      <c r="Q13" s="32" t="s">
        <v>19</v>
      </c>
      <c r="R13" s="34"/>
      <c r="S13" s="65" t="str">
        <f t="shared" si="44"/>
        <v>QPushButton11</v>
      </c>
      <c r="T13" s="65">
        <f>IF(COUNTIF(S:S,S13)&gt;1,0,1)</f>
        <v>1</v>
      </c>
      <c r="V13" s="66" t="str">
        <f t="shared" si="45"/>
        <v>NULL</v>
      </c>
      <c r="W13" s="66" t="str">
        <f t="shared" si="45"/>
        <v>NULL</v>
      </c>
      <c r="X13" s="66" t="str">
        <f t="shared" si="46"/>
        <v>NULL</v>
      </c>
      <c r="Y13" s="1">
        <v>0</v>
      </c>
      <c r="Z13" s="66" t="str">
        <f t="shared" si="47"/>
        <v>QPushButton</v>
      </c>
      <c r="AA13" s="66">
        <f>M:M</f>
        <v>11</v>
      </c>
      <c r="AB13" s="66" t="str">
        <f t="shared" si="48"/>
        <v>GuiStudyPro</v>
      </c>
    </row>
    <row r="14" spans="1:28" s="66" customFormat="1" ht="16.5" x14ac:dyDescent="0.15">
      <c r="A14" s="31">
        <f t="shared" si="3"/>
        <v>13</v>
      </c>
      <c r="B14" s="32" t="s">
        <v>30</v>
      </c>
      <c r="C14" s="32" t="s">
        <v>19</v>
      </c>
      <c r="D14" s="33">
        <v>0</v>
      </c>
      <c r="E14" s="33">
        <f ca="1">INDIRECT(ADDRESS(ROW()-1,COLUMN()))+1</f>
        <v>2</v>
      </c>
      <c r="F14" s="33">
        <v>1</v>
      </c>
      <c r="G14" s="33">
        <v>1</v>
      </c>
      <c r="H14" s="32" t="s">
        <v>19</v>
      </c>
      <c r="I14" s="32" t="s">
        <v>19</v>
      </c>
      <c r="J14" s="32" t="s">
        <v>19</v>
      </c>
      <c r="K14" s="32" t="s">
        <v>19</v>
      </c>
      <c r="L14" s="31" t="str">
        <f t="shared" si="31"/>
        <v>GuiStudyPro</v>
      </c>
      <c r="M14" s="33">
        <v>1</v>
      </c>
      <c r="N14" s="32" t="s">
        <v>19</v>
      </c>
      <c r="O14" s="32" t="s">
        <v>19</v>
      </c>
      <c r="P14" s="32" t="s">
        <v>19</v>
      </c>
      <c r="Q14" s="32" t="s">
        <v>19</v>
      </c>
      <c r="R14" s="28"/>
      <c r="S14" s="65" t="str">
        <f t="shared" ref="S14" si="49">B14&amp;M14</f>
        <v>QSpacerItem1</v>
      </c>
      <c r="T14" s="65">
        <f>IF(COUNTIF(S:S,S14)&gt;1,0,1)</f>
        <v>1</v>
      </c>
      <c r="V14" s="66" t="str">
        <f t="shared" ref="V14" si="50">H14</f>
        <v>NULL</v>
      </c>
      <c r="W14" s="66" t="str">
        <f t="shared" ref="W14" si="51">I14</f>
        <v>NULL</v>
      </c>
      <c r="X14" s="66" t="str">
        <f t="shared" ref="X14" si="52">O14</f>
        <v>NULL</v>
      </c>
      <c r="Y14" s="66">
        <v>13</v>
      </c>
      <c r="Z14" s="66" t="str">
        <f t="shared" ref="Z14" si="53">B14</f>
        <v>QSpacerItem</v>
      </c>
      <c r="AA14" s="66">
        <f>M:M</f>
        <v>1</v>
      </c>
      <c r="AB14" s="66" t="str">
        <f t="shared" ref="AB14" si="54">L14</f>
        <v>GuiStudyPro</v>
      </c>
    </row>
    <row r="15" spans="1:28" s="66" customFormat="1" ht="16.5" x14ac:dyDescent="0.15">
      <c r="A15" s="31">
        <f t="shared" si="3"/>
        <v>14</v>
      </c>
      <c r="B15" s="32" t="s">
        <v>30</v>
      </c>
      <c r="C15" s="32" t="s">
        <v>19</v>
      </c>
      <c r="D15" s="33">
        <f ca="1">INDIRECT(ADDRESS(ROW()-1,COLUMN()))+1</f>
        <v>1</v>
      </c>
      <c r="E15" s="33">
        <v>0</v>
      </c>
      <c r="F15" s="33">
        <v>1</v>
      </c>
      <c r="G15" s="33">
        <v>1</v>
      </c>
      <c r="H15" s="32" t="s">
        <v>19</v>
      </c>
      <c r="I15" s="32" t="s">
        <v>19</v>
      </c>
      <c r="J15" s="32" t="s">
        <v>19</v>
      </c>
      <c r="K15" s="32" t="s">
        <v>19</v>
      </c>
      <c r="L15" s="31" t="str">
        <f t="shared" si="31"/>
        <v>GuiStudyPro</v>
      </c>
      <c r="M15" s="33">
        <v>2</v>
      </c>
      <c r="N15" s="32" t="s">
        <v>19</v>
      </c>
      <c r="O15" s="32" t="s">
        <v>19</v>
      </c>
      <c r="P15" s="32" t="s">
        <v>19</v>
      </c>
      <c r="Q15" s="32" t="s">
        <v>19</v>
      </c>
      <c r="R15" s="28"/>
      <c r="S15" s="65" t="str">
        <f t="shared" si="44"/>
        <v>QSpacerItem2</v>
      </c>
      <c r="T15" s="65">
        <f>IF(COUNTIF(S:S,S15)&gt;1,0,1)</f>
        <v>1</v>
      </c>
      <c r="V15" s="66" t="str">
        <f t="shared" si="45"/>
        <v>NULL</v>
      </c>
      <c r="W15" s="66" t="str">
        <f t="shared" si="45"/>
        <v>NULL</v>
      </c>
      <c r="X15" s="66" t="str">
        <f t="shared" si="46"/>
        <v>NULL</v>
      </c>
      <c r="Y15" s="66">
        <v>13</v>
      </c>
      <c r="Z15" s="66" t="str">
        <f t="shared" si="47"/>
        <v>QSpacerItem</v>
      </c>
      <c r="AA15" s="66">
        <f>M:M</f>
        <v>2</v>
      </c>
      <c r="AB15" s="66" t="str">
        <f t="shared" si="48"/>
        <v>GuiStudyPro</v>
      </c>
    </row>
    <row r="16" spans="1:28" s="1" customFormat="1" ht="16.5" x14ac:dyDescent="0.15">
      <c r="A16" s="68">
        <f t="shared" si="3"/>
        <v>15</v>
      </c>
      <c r="B16" s="69" t="s">
        <v>24</v>
      </c>
      <c r="C16" s="70" t="s">
        <v>170</v>
      </c>
      <c r="D16" s="70">
        <v>0</v>
      </c>
      <c r="E16" s="70">
        <v>0</v>
      </c>
      <c r="F16" s="70">
        <v>1</v>
      </c>
      <c r="G16" s="70">
        <v>1</v>
      </c>
      <c r="H16" s="69" t="s">
        <v>19</v>
      </c>
      <c r="I16" s="70" t="s">
        <v>82</v>
      </c>
      <c r="J16" s="69" t="s">
        <v>19</v>
      </c>
      <c r="K16" s="70" t="s">
        <v>19</v>
      </c>
      <c r="L16" s="68" t="str">
        <f t="shared" si="31"/>
        <v>GuiStudyPro</v>
      </c>
      <c r="M16" s="70">
        <v>12</v>
      </c>
      <c r="N16" s="68" t="s">
        <v>136</v>
      </c>
      <c r="O16" s="69" t="s">
        <v>19</v>
      </c>
      <c r="P16" s="69" t="s">
        <v>19</v>
      </c>
      <c r="Q16" s="69" t="s">
        <v>19</v>
      </c>
      <c r="R16" s="35"/>
      <c r="S16" s="65" t="str">
        <f t="shared" ref="S16:S19" si="55">B16&amp;M16</f>
        <v>QPushButton12</v>
      </c>
      <c r="T16" s="65">
        <f>IF(COUNTIF(S:S,S16)&gt;1,0,1)</f>
        <v>1</v>
      </c>
      <c r="V16" s="66" t="str">
        <f t="shared" ref="V16:V19" si="56">H16</f>
        <v>NULL</v>
      </c>
      <c r="W16" s="66" t="str">
        <f t="shared" ref="W16:W19" si="57">I16</f>
        <v>NULL</v>
      </c>
      <c r="X16" s="66" t="str">
        <f t="shared" ref="X16:X19" si="58">O16</f>
        <v>NULL</v>
      </c>
      <c r="Y16" s="1">
        <v>0</v>
      </c>
      <c r="Z16" s="66" t="str">
        <f t="shared" ref="Z16:Z19" si="59">B16</f>
        <v>QPushButton</v>
      </c>
      <c r="AA16" s="66">
        <f>M:M</f>
        <v>12</v>
      </c>
      <c r="AB16" s="66" t="str">
        <f t="shared" ref="AB16:AB19" si="60">L16</f>
        <v>GuiStudyPro</v>
      </c>
    </row>
    <row r="17" spans="1:28" s="1" customFormat="1" ht="16.5" x14ac:dyDescent="0.15">
      <c r="A17" s="68">
        <f t="shared" si="3"/>
        <v>16</v>
      </c>
      <c r="B17" s="69" t="s">
        <v>24</v>
      </c>
      <c r="C17" s="70" t="s">
        <v>171</v>
      </c>
      <c r="D17" s="70">
        <v>0</v>
      </c>
      <c r="E17" s="70">
        <v>1</v>
      </c>
      <c r="F17" s="70">
        <v>1</v>
      </c>
      <c r="G17" s="70">
        <v>1</v>
      </c>
      <c r="H17" s="69" t="s">
        <v>19</v>
      </c>
      <c r="I17" s="70" t="s">
        <v>82</v>
      </c>
      <c r="J17" s="69" t="s">
        <v>19</v>
      </c>
      <c r="K17" s="70" t="s">
        <v>19</v>
      </c>
      <c r="L17" s="68" t="str">
        <f t="shared" si="31"/>
        <v>GuiStudyPro</v>
      </c>
      <c r="M17" s="70">
        <v>13</v>
      </c>
      <c r="N17" s="68" t="s">
        <v>137</v>
      </c>
      <c r="O17" s="69" t="s">
        <v>19</v>
      </c>
      <c r="P17" s="69" t="s">
        <v>19</v>
      </c>
      <c r="Q17" s="69" t="s">
        <v>19</v>
      </c>
      <c r="R17" s="35"/>
      <c r="S17" s="65" t="str">
        <f t="shared" si="55"/>
        <v>QPushButton13</v>
      </c>
      <c r="T17" s="65">
        <f>IF(COUNTIF(S:S,S17)&gt;1,0,1)</f>
        <v>1</v>
      </c>
      <c r="V17" s="66" t="str">
        <f t="shared" si="56"/>
        <v>NULL</v>
      </c>
      <c r="W17" s="66" t="str">
        <f t="shared" si="57"/>
        <v>NULL</v>
      </c>
      <c r="X17" s="66" t="str">
        <f t="shared" si="58"/>
        <v>NULL</v>
      </c>
      <c r="Y17" s="1">
        <v>0</v>
      </c>
      <c r="Z17" s="66" t="str">
        <f t="shared" si="59"/>
        <v>QPushButton</v>
      </c>
      <c r="AA17" s="66">
        <f>M:M</f>
        <v>13</v>
      </c>
      <c r="AB17" s="66" t="str">
        <f t="shared" si="60"/>
        <v>GuiStudyPro</v>
      </c>
    </row>
    <row r="18" spans="1:28" s="66" customFormat="1" ht="16.5" x14ac:dyDescent="0.15">
      <c r="A18" s="68">
        <f t="shared" si="3"/>
        <v>17</v>
      </c>
      <c r="B18" s="69" t="s">
        <v>30</v>
      </c>
      <c r="C18" s="69" t="s">
        <v>19</v>
      </c>
      <c r="D18" s="70">
        <v>0</v>
      </c>
      <c r="E18" s="70">
        <f ca="1">INDIRECT(ADDRESS(ROW()-1,COLUMN()))+1</f>
        <v>2</v>
      </c>
      <c r="F18" s="70">
        <v>1</v>
      </c>
      <c r="G18" s="70">
        <v>1</v>
      </c>
      <c r="H18" s="69" t="s">
        <v>19</v>
      </c>
      <c r="I18" s="69" t="s">
        <v>19</v>
      </c>
      <c r="J18" s="69" t="s">
        <v>19</v>
      </c>
      <c r="K18" s="69" t="s">
        <v>19</v>
      </c>
      <c r="L18" s="68" t="str">
        <f t="shared" si="31"/>
        <v>GuiStudyPro</v>
      </c>
      <c r="M18" s="70">
        <v>3</v>
      </c>
      <c r="N18" s="69" t="s">
        <v>19</v>
      </c>
      <c r="O18" s="69" t="s">
        <v>19</v>
      </c>
      <c r="P18" s="69" t="s">
        <v>19</v>
      </c>
      <c r="Q18" s="69" t="s">
        <v>19</v>
      </c>
      <c r="R18" s="29"/>
      <c r="S18" s="65" t="str">
        <f t="shared" si="55"/>
        <v>QSpacerItem3</v>
      </c>
      <c r="T18" s="65">
        <f>IF(COUNTIF(S:S,S18)&gt;1,0,1)</f>
        <v>1</v>
      </c>
      <c r="V18" s="66" t="str">
        <f t="shared" si="56"/>
        <v>NULL</v>
      </c>
      <c r="W18" s="66" t="str">
        <f t="shared" si="57"/>
        <v>NULL</v>
      </c>
      <c r="X18" s="66" t="str">
        <f t="shared" si="58"/>
        <v>NULL</v>
      </c>
      <c r="Y18" s="66">
        <v>13</v>
      </c>
      <c r="Z18" s="66" t="str">
        <f t="shared" si="59"/>
        <v>QSpacerItem</v>
      </c>
      <c r="AA18" s="66">
        <f>M:M</f>
        <v>3</v>
      </c>
      <c r="AB18" s="66" t="str">
        <f t="shared" si="60"/>
        <v>GuiStudyPro</v>
      </c>
    </row>
    <row r="19" spans="1:28" s="66" customFormat="1" ht="16.5" x14ac:dyDescent="0.15">
      <c r="A19" s="68">
        <f t="shared" si="3"/>
        <v>18</v>
      </c>
      <c r="B19" s="69" t="s">
        <v>30</v>
      </c>
      <c r="C19" s="69" t="s">
        <v>19</v>
      </c>
      <c r="D19" s="70">
        <f ca="1">INDIRECT(ADDRESS(ROW()-1,COLUMN()))+1</f>
        <v>1</v>
      </c>
      <c r="E19" s="70">
        <v>0</v>
      </c>
      <c r="F19" s="70">
        <v>1</v>
      </c>
      <c r="G19" s="70">
        <v>1</v>
      </c>
      <c r="H19" s="69" t="s">
        <v>19</v>
      </c>
      <c r="I19" s="69" t="s">
        <v>19</v>
      </c>
      <c r="J19" s="69" t="s">
        <v>19</v>
      </c>
      <c r="K19" s="69" t="s">
        <v>19</v>
      </c>
      <c r="L19" s="68" t="str">
        <f t="shared" si="31"/>
        <v>GuiStudyPro</v>
      </c>
      <c r="M19" s="70">
        <v>4</v>
      </c>
      <c r="N19" s="69" t="s">
        <v>19</v>
      </c>
      <c r="O19" s="69" t="s">
        <v>19</v>
      </c>
      <c r="P19" s="69" t="s">
        <v>19</v>
      </c>
      <c r="Q19" s="69" t="s">
        <v>19</v>
      </c>
      <c r="R19" s="29"/>
      <c r="S19" s="65" t="str">
        <f t="shared" si="55"/>
        <v>QSpacerItem4</v>
      </c>
      <c r="T19" s="65">
        <f>IF(COUNTIF(S:S,S19)&gt;1,0,1)</f>
        <v>1</v>
      </c>
      <c r="V19" s="66" t="str">
        <f t="shared" si="56"/>
        <v>NULL</v>
      </c>
      <c r="W19" s="66" t="str">
        <f t="shared" si="57"/>
        <v>NULL</v>
      </c>
      <c r="X19" s="66" t="str">
        <f t="shared" si="58"/>
        <v>NULL</v>
      </c>
      <c r="Y19" s="66">
        <v>13</v>
      </c>
      <c r="Z19" s="66" t="str">
        <f t="shared" si="59"/>
        <v>QSpacerItem</v>
      </c>
      <c r="AA19" s="66">
        <f>M:M</f>
        <v>4</v>
      </c>
      <c r="AB19" s="66" t="str">
        <f t="shared" si="60"/>
        <v>GuiStudyPro</v>
      </c>
    </row>
    <row r="20" spans="1:28" s="66" customFormat="1" ht="16.5" x14ac:dyDescent="0.15">
      <c r="A20" s="71">
        <f t="shared" si="3"/>
        <v>19</v>
      </c>
      <c r="B20" s="72" t="s">
        <v>131</v>
      </c>
      <c r="C20" s="72" t="s">
        <v>19</v>
      </c>
      <c r="D20" s="73">
        <v>0</v>
      </c>
      <c r="E20" s="73">
        <v>0</v>
      </c>
      <c r="F20" s="73">
        <v>1</v>
      </c>
      <c r="G20" s="73">
        <v>1</v>
      </c>
      <c r="H20" s="72" t="s">
        <v>19</v>
      </c>
      <c r="I20" s="72" t="s">
        <v>19</v>
      </c>
      <c r="J20" s="73">
        <v>0</v>
      </c>
      <c r="K20" s="73" t="s">
        <v>140</v>
      </c>
      <c r="L20" s="71" t="str">
        <f t="shared" si="31"/>
        <v>GuiStudyPro</v>
      </c>
      <c r="M20" s="73">
        <v>0</v>
      </c>
      <c r="N20" s="73">
        <v>1</v>
      </c>
      <c r="O20" s="73" t="s">
        <v>141</v>
      </c>
      <c r="P20" s="72" t="s">
        <v>19</v>
      </c>
      <c r="Q20" s="73" t="s">
        <v>142</v>
      </c>
      <c r="R20" s="30"/>
      <c r="S20" s="65" t="str">
        <f t="shared" si="44"/>
        <v>QTableWidget0</v>
      </c>
      <c r="T20" s="65">
        <f>IF(COUNTIF(S:S,S20)&gt;1,0,1)</f>
        <v>1</v>
      </c>
      <c r="V20" s="66" t="str">
        <f>H20</f>
        <v>NULL</v>
      </c>
      <c r="W20" s="66" t="str">
        <f>Q20</f>
        <v>OutputTableData</v>
      </c>
      <c r="X20" s="66" t="str">
        <f t="shared" si="46"/>
        <v>ConfigurationFolder/GUIData/TestOutputTableData.csv</v>
      </c>
      <c r="Y20" s="6" t="s">
        <v>40</v>
      </c>
      <c r="Z20" s="66" t="str">
        <f t="shared" si="47"/>
        <v>QTableWidget</v>
      </c>
      <c r="AA20" s="66">
        <f>M:M</f>
        <v>0</v>
      </c>
      <c r="AB20" s="66" t="str">
        <f t="shared" si="48"/>
        <v>GuiStudyPro</v>
      </c>
    </row>
    <row r="21" spans="1:28" s="65" customFormat="1" ht="16.5" x14ac:dyDescent="0.15">
      <c r="A21" s="74">
        <f t="shared" si="3"/>
        <v>20</v>
      </c>
      <c r="B21" s="74" t="s">
        <v>18</v>
      </c>
      <c r="C21" s="73" t="s">
        <v>97</v>
      </c>
      <c r="D21" s="73">
        <v>1</v>
      </c>
      <c r="E21" s="73">
        <v>0</v>
      </c>
      <c r="F21" s="73">
        <v>1</v>
      </c>
      <c r="G21" s="73">
        <v>1</v>
      </c>
      <c r="H21" s="74" t="s">
        <v>19</v>
      </c>
      <c r="I21" s="74" t="s">
        <v>88</v>
      </c>
      <c r="J21" s="74" t="s">
        <v>21</v>
      </c>
      <c r="K21" s="74" t="s">
        <v>19</v>
      </c>
      <c r="L21" s="71" t="str">
        <f t="shared" si="31"/>
        <v>GuiStudyPro</v>
      </c>
      <c r="M21" s="73">
        <v>1</v>
      </c>
      <c r="N21" s="74" t="s">
        <v>19</v>
      </c>
      <c r="O21" s="74" t="s">
        <v>19</v>
      </c>
      <c r="P21" s="74" t="s">
        <v>19</v>
      </c>
      <c r="Q21" s="74" t="s">
        <v>19</v>
      </c>
      <c r="R21" s="75"/>
      <c r="S21" s="65" t="str">
        <f>B21&amp;M21</f>
        <v>Qlabel1</v>
      </c>
      <c r="T21" s="65">
        <f>IF(COUNTIF(S:S,S21)&gt;1,0,1)</f>
        <v>1</v>
      </c>
      <c r="V21" s="67" t="str">
        <f t="shared" ref="V21:W28" si="61">H21</f>
        <v>NULL</v>
      </c>
      <c r="W21" s="67" t="str">
        <f t="shared" si="61"/>
        <v>AlignLeft</v>
      </c>
      <c r="X21" s="67" t="str">
        <f t="shared" si="46"/>
        <v>NULL</v>
      </c>
      <c r="Y21" s="65">
        <v>0</v>
      </c>
      <c r="Z21" s="67" t="str">
        <f t="shared" si="47"/>
        <v>Qlabel</v>
      </c>
      <c r="AA21" s="67">
        <f>M:M</f>
        <v>1</v>
      </c>
      <c r="AB21" s="67" t="str">
        <f t="shared" si="48"/>
        <v>GuiStudyPro</v>
      </c>
    </row>
    <row r="22" spans="1:28" s="1" customFormat="1" ht="16.5" x14ac:dyDescent="0.15">
      <c r="A22" s="54">
        <f t="shared" si="3"/>
        <v>21</v>
      </c>
      <c r="B22" s="54" t="s">
        <v>128</v>
      </c>
      <c r="C22" s="55" t="s">
        <v>19</v>
      </c>
      <c r="D22" s="52">
        <v>0</v>
      </c>
      <c r="E22" s="52">
        <v>0</v>
      </c>
      <c r="F22" s="52">
        <v>1</v>
      </c>
      <c r="G22" s="52">
        <v>1</v>
      </c>
      <c r="H22" s="55" t="s">
        <v>19</v>
      </c>
      <c r="I22" s="52">
        <v>0</v>
      </c>
      <c r="J22" s="55" t="s">
        <v>19</v>
      </c>
      <c r="K22" s="55" t="s">
        <v>19</v>
      </c>
      <c r="L22" s="54" t="str">
        <f t="shared" si="31"/>
        <v>GuiStudyPro</v>
      </c>
      <c r="M22" s="52">
        <f>A2</f>
        <v>1</v>
      </c>
      <c r="N22" s="52">
        <f>A10</f>
        <v>9</v>
      </c>
      <c r="O22" s="55" t="s">
        <v>19</v>
      </c>
      <c r="P22" s="55" t="s">
        <v>19</v>
      </c>
      <c r="Q22" s="55" t="s">
        <v>19</v>
      </c>
      <c r="R22" s="47"/>
      <c r="S22" s="65" t="str">
        <f t="shared" ref="S22:S29" si="62">B22&amp;I22</f>
        <v>QHBoxLayout0</v>
      </c>
      <c r="T22" s="65">
        <f>IF(COUNTIF(S:S,S22)&gt;1,0,1)</f>
        <v>1</v>
      </c>
      <c r="V22" s="66" t="str">
        <f t="shared" si="61"/>
        <v>NULL</v>
      </c>
      <c r="W22" s="66">
        <f t="shared" si="61"/>
        <v>0</v>
      </c>
      <c r="X22" s="66" t="str">
        <f t="shared" si="46"/>
        <v>NULL</v>
      </c>
      <c r="Y22" s="1">
        <v>0</v>
      </c>
      <c r="Z22" s="66" t="str">
        <f t="shared" si="47"/>
        <v>QHBoxLayout</v>
      </c>
      <c r="AA22" s="66">
        <f>W22</f>
        <v>0</v>
      </c>
      <c r="AB22" s="66" t="str">
        <f t="shared" si="48"/>
        <v>GuiStudyPro</v>
      </c>
    </row>
    <row r="23" spans="1:28" s="66" customFormat="1" ht="16.5" x14ac:dyDescent="0.15">
      <c r="A23" s="54">
        <f t="shared" si="3"/>
        <v>22</v>
      </c>
      <c r="B23" s="54" t="s">
        <v>99</v>
      </c>
      <c r="C23" s="55" t="s">
        <v>19</v>
      </c>
      <c r="D23" s="52">
        <v>1</v>
      </c>
      <c r="E23" s="52">
        <v>0</v>
      </c>
      <c r="F23" s="52">
        <v>1</v>
      </c>
      <c r="G23" s="52">
        <v>1</v>
      </c>
      <c r="H23" s="55" t="s">
        <v>19</v>
      </c>
      <c r="I23" s="52">
        <v>0</v>
      </c>
      <c r="J23" s="55" t="s">
        <v>19</v>
      </c>
      <c r="K23" s="55" t="s">
        <v>19</v>
      </c>
      <c r="L23" s="54" t="str">
        <f t="shared" si="31"/>
        <v>GuiStudyPro</v>
      </c>
      <c r="M23" s="52">
        <f>A11</f>
        <v>10</v>
      </c>
      <c r="N23" s="52">
        <f>A11</f>
        <v>10</v>
      </c>
      <c r="O23" s="55" t="s">
        <v>19</v>
      </c>
      <c r="P23" s="55" t="s">
        <v>19</v>
      </c>
      <c r="Q23" s="55" t="s">
        <v>19</v>
      </c>
      <c r="R23" s="26"/>
      <c r="S23" s="65" t="str">
        <f t="shared" si="62"/>
        <v>QGridLayout0</v>
      </c>
      <c r="T23" s="65">
        <f>IF(COUNTIF(S:S,S23)&gt;1,0,1)</f>
        <v>1</v>
      </c>
      <c r="V23" s="66" t="str">
        <f t="shared" si="61"/>
        <v>NULL</v>
      </c>
      <c r="W23" s="66">
        <f t="shared" si="61"/>
        <v>0</v>
      </c>
      <c r="X23" s="66" t="str">
        <f t="shared" si="46"/>
        <v>NULL</v>
      </c>
      <c r="Y23" s="6" t="s">
        <v>40</v>
      </c>
      <c r="Z23" s="66" t="str">
        <f t="shared" si="47"/>
        <v>QGridLayout</v>
      </c>
      <c r="AA23" s="66">
        <f t="shared" ref="AA23:AA29" si="63">I23</f>
        <v>0</v>
      </c>
      <c r="AB23" s="66" t="str">
        <f t="shared" si="48"/>
        <v>GuiStudyPro</v>
      </c>
    </row>
    <row r="24" spans="1:28" s="66" customFormat="1" ht="16.5" x14ac:dyDescent="0.15">
      <c r="A24" s="31">
        <f t="shared" si="3"/>
        <v>23</v>
      </c>
      <c r="B24" s="31" t="s">
        <v>99</v>
      </c>
      <c r="C24" s="32" t="s">
        <v>19</v>
      </c>
      <c r="D24" s="33">
        <v>0</v>
      </c>
      <c r="E24" s="33">
        <v>0</v>
      </c>
      <c r="F24" s="33">
        <v>1</v>
      </c>
      <c r="G24" s="33">
        <v>1</v>
      </c>
      <c r="H24" s="32" t="s">
        <v>19</v>
      </c>
      <c r="I24" s="33">
        <v>2</v>
      </c>
      <c r="J24" s="32" t="s">
        <v>19</v>
      </c>
      <c r="K24" s="32" t="s">
        <v>19</v>
      </c>
      <c r="L24" s="31" t="str">
        <f t="shared" si="31"/>
        <v>GuiStudyPro</v>
      </c>
      <c r="M24" s="33">
        <f>A12</f>
        <v>11</v>
      </c>
      <c r="N24" s="33">
        <f>A15</f>
        <v>14</v>
      </c>
      <c r="O24" s="32" t="s">
        <v>19</v>
      </c>
      <c r="P24" s="32" t="s">
        <v>19</v>
      </c>
      <c r="Q24" s="32" t="s">
        <v>19</v>
      </c>
      <c r="R24" s="28"/>
      <c r="S24" s="65" t="str">
        <f t="shared" si="62"/>
        <v>QGridLayout2</v>
      </c>
      <c r="T24" s="65">
        <f>IF(COUNTIF(S:S,S24)&gt;1,0,1)</f>
        <v>1</v>
      </c>
      <c r="V24" s="66" t="str">
        <f t="shared" si="61"/>
        <v>NULL</v>
      </c>
      <c r="W24" s="66">
        <f t="shared" si="61"/>
        <v>2</v>
      </c>
      <c r="X24" s="66" t="str">
        <f t="shared" si="46"/>
        <v>NULL</v>
      </c>
      <c r="Y24" s="6" t="s">
        <v>40</v>
      </c>
      <c r="Z24" s="66" t="str">
        <f t="shared" si="47"/>
        <v>QGridLayout</v>
      </c>
      <c r="AA24" s="66">
        <f t="shared" si="63"/>
        <v>2</v>
      </c>
      <c r="AB24" s="66" t="str">
        <f t="shared" si="48"/>
        <v>GuiStudyPro</v>
      </c>
    </row>
    <row r="25" spans="1:28" s="66" customFormat="1" ht="16.5" x14ac:dyDescent="0.15">
      <c r="A25" s="68">
        <f t="shared" si="3"/>
        <v>24</v>
      </c>
      <c r="B25" s="68" t="s">
        <v>99</v>
      </c>
      <c r="C25" s="69" t="s">
        <v>19</v>
      </c>
      <c r="D25" s="70">
        <v>0</v>
      </c>
      <c r="E25" s="70">
        <v>0</v>
      </c>
      <c r="F25" s="70">
        <v>1</v>
      </c>
      <c r="G25" s="70">
        <v>1</v>
      </c>
      <c r="H25" s="69" t="s">
        <v>19</v>
      </c>
      <c r="I25" s="70">
        <v>3</v>
      </c>
      <c r="J25" s="69" t="s">
        <v>19</v>
      </c>
      <c r="K25" s="69" t="s">
        <v>19</v>
      </c>
      <c r="L25" s="68" t="str">
        <f t="shared" si="31"/>
        <v>GuiStudyPro</v>
      </c>
      <c r="M25" s="70">
        <f>A16</f>
        <v>15</v>
      </c>
      <c r="N25" s="70">
        <f>A19</f>
        <v>18</v>
      </c>
      <c r="O25" s="69" t="s">
        <v>19</v>
      </c>
      <c r="P25" s="69" t="s">
        <v>19</v>
      </c>
      <c r="Q25" s="69" t="s">
        <v>19</v>
      </c>
      <c r="R25" s="29"/>
      <c r="S25" s="65" t="str">
        <f t="shared" si="62"/>
        <v>QGridLayout3</v>
      </c>
      <c r="T25" s="65">
        <f>IF(COUNTIF(S:S,S25)&gt;1,0,1)</f>
        <v>1</v>
      </c>
      <c r="V25" s="66" t="str">
        <f t="shared" ref="V25:V26" si="64">H25</f>
        <v>NULL</v>
      </c>
      <c r="W25" s="66">
        <f t="shared" ref="W25:W26" si="65">I25</f>
        <v>3</v>
      </c>
      <c r="X25" s="66" t="str">
        <f t="shared" ref="X25:X26" si="66">O25</f>
        <v>NULL</v>
      </c>
      <c r="Y25" s="6" t="s">
        <v>40</v>
      </c>
      <c r="Z25" s="66" t="str">
        <f t="shared" ref="Z25:Z26" si="67">B25</f>
        <v>QGridLayout</v>
      </c>
      <c r="AA25" s="66">
        <f t="shared" si="63"/>
        <v>3</v>
      </c>
      <c r="AB25" s="66" t="str">
        <f t="shared" ref="AB25:AB26" si="68">L25</f>
        <v>GuiStudyPro</v>
      </c>
    </row>
    <row r="26" spans="1:28" s="66" customFormat="1" ht="16.5" x14ac:dyDescent="0.15">
      <c r="A26" s="71">
        <f t="shared" si="3"/>
        <v>25</v>
      </c>
      <c r="B26" s="71" t="s">
        <v>99</v>
      </c>
      <c r="C26" s="72" t="s">
        <v>19</v>
      </c>
      <c r="D26" s="73">
        <v>0</v>
      </c>
      <c r="E26" s="73">
        <v>0</v>
      </c>
      <c r="F26" s="73">
        <v>1</v>
      </c>
      <c r="G26" s="73">
        <v>1</v>
      </c>
      <c r="H26" s="72" t="s">
        <v>19</v>
      </c>
      <c r="I26" s="73">
        <v>4</v>
      </c>
      <c r="J26" s="72" t="s">
        <v>19</v>
      </c>
      <c r="K26" s="72" t="s">
        <v>19</v>
      </c>
      <c r="L26" s="71" t="str">
        <f t="shared" si="31"/>
        <v>GuiStudyPro</v>
      </c>
      <c r="M26" s="73">
        <f>A20</f>
        <v>19</v>
      </c>
      <c r="N26" s="73">
        <f>A21</f>
        <v>20</v>
      </c>
      <c r="O26" s="72" t="s">
        <v>19</v>
      </c>
      <c r="P26" s="72" t="s">
        <v>19</v>
      </c>
      <c r="Q26" s="72" t="s">
        <v>19</v>
      </c>
      <c r="R26" s="30"/>
      <c r="S26" s="65" t="str">
        <f t="shared" si="62"/>
        <v>QGridLayout4</v>
      </c>
      <c r="T26" s="65">
        <f>IF(COUNTIF(S:S,S26)&gt;1,0,1)</f>
        <v>1</v>
      </c>
      <c r="V26" s="66" t="str">
        <f t="shared" si="64"/>
        <v>NULL</v>
      </c>
      <c r="W26" s="66">
        <f t="shared" si="65"/>
        <v>4</v>
      </c>
      <c r="X26" s="66" t="str">
        <f t="shared" si="66"/>
        <v>NULL</v>
      </c>
      <c r="Y26" s="6" t="s">
        <v>40</v>
      </c>
      <c r="Z26" s="66" t="str">
        <f t="shared" si="67"/>
        <v>QGridLayout</v>
      </c>
      <c r="AA26" s="66">
        <f t="shared" si="63"/>
        <v>4</v>
      </c>
      <c r="AB26" s="66" t="str">
        <f t="shared" si="68"/>
        <v>GuiStudyPro</v>
      </c>
    </row>
    <row r="27" spans="1:28" s="11" customFormat="1" ht="16.5" x14ac:dyDescent="0.15">
      <c r="A27" s="58">
        <f t="shared" si="3"/>
        <v>26</v>
      </c>
      <c r="B27" s="58" t="s">
        <v>154</v>
      </c>
      <c r="C27" s="58" t="s">
        <v>155</v>
      </c>
      <c r="D27" s="60">
        <v>0</v>
      </c>
      <c r="E27" s="60">
        <v>0</v>
      </c>
      <c r="F27" s="60">
        <v>1</v>
      </c>
      <c r="G27" s="60">
        <v>1</v>
      </c>
      <c r="H27" s="59" t="s">
        <v>19</v>
      </c>
      <c r="I27" s="60">
        <v>0</v>
      </c>
      <c r="J27" s="60">
        <f>I24</f>
        <v>2</v>
      </c>
      <c r="K27" s="60" t="s">
        <v>33</v>
      </c>
      <c r="L27" s="58" t="str">
        <f t="shared" si="31"/>
        <v>GuiStudyPro</v>
      </c>
      <c r="M27" s="58" t="s">
        <v>66</v>
      </c>
      <c r="N27" s="59" t="s">
        <v>19</v>
      </c>
      <c r="O27" s="59" t="s">
        <v>19</v>
      </c>
      <c r="P27" s="60">
        <v>2</v>
      </c>
      <c r="Q27" s="60" t="s">
        <v>157</v>
      </c>
      <c r="R27" s="27"/>
      <c r="S27" s="40" t="str">
        <f t="shared" si="62"/>
        <v>QTabWidget0</v>
      </c>
      <c r="T27" s="40">
        <f>IF(COUNTIF(S:S,S27)&gt;1,0,1)</f>
        <v>0</v>
      </c>
      <c r="V27" s="11" t="str">
        <f t="shared" si="61"/>
        <v>NULL</v>
      </c>
      <c r="W27" s="11" t="str">
        <f>Q27</f>
        <v>TabCheck</v>
      </c>
      <c r="X27" s="11" t="str">
        <f t="shared" si="46"/>
        <v>NULL</v>
      </c>
      <c r="Y27" s="12" t="s">
        <v>40</v>
      </c>
      <c r="Z27" s="11" t="str">
        <f t="shared" si="47"/>
        <v>QTabWidget</v>
      </c>
      <c r="AA27" s="11">
        <f t="shared" si="63"/>
        <v>0</v>
      </c>
      <c r="AB27" s="11" t="str">
        <f t="shared" si="48"/>
        <v>GuiStudyPro</v>
      </c>
    </row>
    <row r="28" spans="1:28" s="11" customFormat="1" ht="16.5" x14ac:dyDescent="0.15">
      <c r="A28" s="58">
        <f t="shared" si="3"/>
        <v>27</v>
      </c>
      <c r="B28" s="58" t="s">
        <v>154</v>
      </c>
      <c r="C28" s="58" t="s">
        <v>167</v>
      </c>
      <c r="D28" s="60">
        <v>0</v>
      </c>
      <c r="E28" s="60">
        <v>0</v>
      </c>
      <c r="F28" s="60">
        <v>1</v>
      </c>
      <c r="G28" s="60">
        <v>1</v>
      </c>
      <c r="H28" s="59" t="s">
        <v>19</v>
      </c>
      <c r="I28" s="60">
        <v>0</v>
      </c>
      <c r="J28" s="60">
        <f>I25</f>
        <v>3</v>
      </c>
      <c r="K28" s="60" t="s">
        <v>33</v>
      </c>
      <c r="L28" s="58" t="str">
        <f t="shared" si="31"/>
        <v>GuiStudyPro</v>
      </c>
      <c r="M28" s="58" t="s">
        <v>66</v>
      </c>
      <c r="N28" s="59" t="s">
        <v>19</v>
      </c>
      <c r="O28" s="59" t="s">
        <v>19</v>
      </c>
      <c r="P28" s="60">
        <v>2</v>
      </c>
      <c r="Q28" s="60" t="s">
        <v>157</v>
      </c>
      <c r="R28" s="27"/>
      <c r="S28" s="40" t="str">
        <f t="shared" si="62"/>
        <v>QTabWidget0</v>
      </c>
      <c r="T28" s="40">
        <f>IF(COUNTIF(S:S,S28)&gt;1,0,1)</f>
        <v>0</v>
      </c>
      <c r="V28" s="11" t="str">
        <f t="shared" si="61"/>
        <v>NULL</v>
      </c>
      <c r="W28" s="11" t="str">
        <f>Q28</f>
        <v>TabCheck</v>
      </c>
      <c r="X28" s="11" t="str">
        <f t="shared" si="46"/>
        <v>NULL</v>
      </c>
      <c r="Y28" s="12" t="s">
        <v>40</v>
      </c>
      <c r="Z28" s="11" t="str">
        <f t="shared" si="47"/>
        <v>QTabWidget</v>
      </c>
      <c r="AA28" s="11">
        <f t="shared" si="63"/>
        <v>0</v>
      </c>
      <c r="AB28" s="11" t="str">
        <f t="shared" si="48"/>
        <v>GuiStudyPro</v>
      </c>
    </row>
    <row r="29" spans="1:28" s="11" customFormat="1" ht="16.5" x14ac:dyDescent="0.15">
      <c r="A29" s="58">
        <f t="shared" si="3"/>
        <v>28</v>
      </c>
      <c r="B29" s="59" t="s">
        <v>27</v>
      </c>
      <c r="C29" s="58" t="s">
        <v>145</v>
      </c>
      <c r="D29" s="60">
        <v>1</v>
      </c>
      <c r="E29" s="60">
        <v>0</v>
      </c>
      <c r="F29" s="60">
        <v>1</v>
      </c>
      <c r="G29" s="60">
        <v>1</v>
      </c>
      <c r="H29" s="59" t="s">
        <v>19</v>
      </c>
      <c r="I29" s="60">
        <f>J29+1</f>
        <v>5</v>
      </c>
      <c r="J29" s="60">
        <f>I26</f>
        <v>4</v>
      </c>
      <c r="K29" s="60" t="s">
        <v>33</v>
      </c>
      <c r="L29" s="58" t="str">
        <f t="shared" si="31"/>
        <v>GuiStudyPro</v>
      </c>
      <c r="M29" s="59" t="s">
        <v>19</v>
      </c>
      <c r="N29" s="59" t="s">
        <v>19</v>
      </c>
      <c r="O29" s="59" t="s">
        <v>19</v>
      </c>
      <c r="P29" s="60">
        <v>0</v>
      </c>
      <c r="Q29" s="60" t="s">
        <v>143</v>
      </c>
      <c r="R29" s="27"/>
      <c r="S29" s="40" t="str">
        <f t="shared" si="62"/>
        <v>QGroupBox5</v>
      </c>
      <c r="T29" s="40">
        <f>IF(COUNTIF(S:S,S29)&gt;1,0,1)</f>
        <v>1</v>
      </c>
      <c r="V29" s="11" t="str">
        <f t="shared" ref="V29:V31" si="69">H29</f>
        <v>NULL</v>
      </c>
      <c r="W29" s="11" t="str">
        <f>Q29</f>
        <v>OutputGroup</v>
      </c>
      <c r="X29" s="11" t="str">
        <f t="shared" ref="X29:X31" si="70">O29</f>
        <v>NULL</v>
      </c>
      <c r="Y29" s="12" t="s">
        <v>40</v>
      </c>
      <c r="Z29" s="11" t="str">
        <f t="shared" ref="Z29:Z31" si="71">B29</f>
        <v>QGroupBox</v>
      </c>
      <c r="AA29" s="11">
        <f t="shared" si="63"/>
        <v>5</v>
      </c>
      <c r="AB29" s="11" t="str">
        <f t="shared" ref="AB29:AB31" si="72">L29</f>
        <v>GuiStudyPro</v>
      </c>
    </row>
    <row r="30" spans="1:28" s="1" customFormat="1" ht="16.5" x14ac:dyDescent="0.15">
      <c r="A30" s="54">
        <f t="shared" si="3"/>
        <v>29</v>
      </c>
      <c r="B30" s="54" t="s">
        <v>100</v>
      </c>
      <c r="C30" s="55" t="s">
        <v>19</v>
      </c>
      <c r="D30" s="52">
        <v>0</v>
      </c>
      <c r="E30" s="52">
        <v>0</v>
      </c>
      <c r="F30" s="52">
        <v>1</v>
      </c>
      <c r="G30" s="52">
        <v>1</v>
      </c>
      <c r="H30" s="55" t="s">
        <v>19</v>
      </c>
      <c r="I30" s="52">
        <v>1</v>
      </c>
      <c r="J30" s="55" t="s">
        <v>19</v>
      </c>
      <c r="K30" s="55" t="s">
        <v>19</v>
      </c>
      <c r="L30" s="54" t="str">
        <f t="shared" si="31"/>
        <v>GuiStudyPro</v>
      </c>
      <c r="M30" s="52">
        <f>A22</f>
        <v>21</v>
      </c>
      <c r="N30" s="52">
        <f>A23</f>
        <v>22</v>
      </c>
      <c r="O30" s="55" t="s">
        <v>19</v>
      </c>
      <c r="P30" s="55" t="s">
        <v>19</v>
      </c>
      <c r="Q30" s="55" t="s">
        <v>19</v>
      </c>
      <c r="R30" s="47"/>
      <c r="S30" s="65" t="str">
        <f>LEFT(B30,LEN(B30)-2)&amp;I30</f>
        <v>QGridLayout1</v>
      </c>
      <c r="T30" s="65">
        <f>IF(COUNTIF(S:S,S30)&gt;1,0,1)</f>
        <v>1</v>
      </c>
      <c r="V30" s="66" t="str">
        <f t="shared" ref="V30" si="73">H30</f>
        <v>NULL</v>
      </c>
      <c r="W30" s="66">
        <f t="shared" ref="W30" si="74">I30</f>
        <v>1</v>
      </c>
      <c r="X30" s="66" t="str">
        <f t="shared" ref="X30" si="75">O30</f>
        <v>NULL</v>
      </c>
      <c r="Y30" s="1">
        <v>0</v>
      </c>
      <c r="Z30" s="66" t="str">
        <f t="shared" ref="Z30" si="76">B30</f>
        <v>QGridLayout_M</v>
      </c>
      <c r="AA30" s="66">
        <f>W30</f>
        <v>1</v>
      </c>
      <c r="AB30" s="66" t="str">
        <f t="shared" ref="AB30" si="77">L30</f>
        <v>GuiStudyPro</v>
      </c>
    </row>
    <row r="31" spans="1:28" s="1" customFormat="1" ht="16.5" x14ac:dyDescent="0.15">
      <c r="A31" s="58">
        <f t="shared" si="3"/>
        <v>30</v>
      </c>
      <c r="B31" s="58" t="s">
        <v>100</v>
      </c>
      <c r="C31" s="59" t="s">
        <v>19</v>
      </c>
      <c r="D31" s="60">
        <v>0</v>
      </c>
      <c r="E31" s="60">
        <v>1</v>
      </c>
      <c r="F31" s="60">
        <v>1</v>
      </c>
      <c r="G31" s="60">
        <v>1</v>
      </c>
      <c r="H31" s="59" t="s">
        <v>19</v>
      </c>
      <c r="I31" s="60">
        <v>5</v>
      </c>
      <c r="J31" s="59" t="s">
        <v>19</v>
      </c>
      <c r="K31" s="59" t="s">
        <v>19</v>
      </c>
      <c r="L31" s="58" t="str">
        <f t="shared" si="31"/>
        <v>GuiStudyPro</v>
      </c>
      <c r="M31" s="60">
        <f>A27</f>
        <v>26</v>
      </c>
      <c r="N31" s="60">
        <f>A29</f>
        <v>28</v>
      </c>
      <c r="O31" s="59" t="s">
        <v>19</v>
      </c>
      <c r="P31" s="59" t="s">
        <v>19</v>
      </c>
      <c r="Q31" s="59" t="s">
        <v>19</v>
      </c>
      <c r="R31" s="61"/>
      <c r="S31" s="65" t="str">
        <f>LEFT(B31,LEN(B31)-2)&amp;I31</f>
        <v>QGridLayout5</v>
      </c>
      <c r="T31" s="65">
        <f>IF(COUNTIF(S:S,S31)&gt;1,0,1)</f>
        <v>1</v>
      </c>
      <c r="V31" s="66" t="str">
        <f t="shared" si="69"/>
        <v>NULL</v>
      </c>
      <c r="W31" s="66">
        <f t="shared" ref="W31" si="78">I31</f>
        <v>5</v>
      </c>
      <c r="X31" s="66" t="str">
        <f t="shared" si="70"/>
        <v>NULL</v>
      </c>
      <c r="Y31" s="1">
        <v>0</v>
      </c>
      <c r="Z31" s="66" t="str">
        <f t="shared" si="71"/>
        <v>QGridLayout_M</v>
      </c>
      <c r="AA31" s="66">
        <f>W31</f>
        <v>5</v>
      </c>
      <c r="AB31" s="66" t="str">
        <f t="shared" si="72"/>
        <v>GuiStudyPro</v>
      </c>
    </row>
  </sheetData>
  <phoneticPr fontId="2" type="noConversion"/>
  <conditionalFormatting sqref="T1">
    <cfRule type="cellIs" dxfId="61" priority="81" operator="lessThan">
      <formula>0.5</formula>
    </cfRule>
    <cfRule type="cellIs" dxfId="60" priority="82" operator="greaterThan">
      <formula>0</formula>
    </cfRule>
  </conditionalFormatting>
  <conditionalFormatting sqref="T2">
    <cfRule type="cellIs" dxfId="59" priority="79" operator="lessThan">
      <formula>0.5</formula>
    </cfRule>
    <cfRule type="cellIs" dxfId="58" priority="80" operator="greaterThan">
      <formula>0</formula>
    </cfRule>
  </conditionalFormatting>
  <conditionalFormatting sqref="T3">
    <cfRule type="cellIs" dxfId="57" priority="77" operator="lessThan">
      <formula>0.5</formula>
    </cfRule>
    <cfRule type="cellIs" dxfId="56" priority="78" operator="greaterThan">
      <formula>0</formula>
    </cfRule>
  </conditionalFormatting>
  <conditionalFormatting sqref="T4">
    <cfRule type="cellIs" dxfId="55" priority="75" operator="lessThan">
      <formula>0.5</formula>
    </cfRule>
    <cfRule type="cellIs" dxfId="54" priority="76" operator="greaterThan">
      <formula>0</formula>
    </cfRule>
  </conditionalFormatting>
  <conditionalFormatting sqref="T5">
    <cfRule type="cellIs" dxfId="53" priority="73" operator="lessThan">
      <formula>0.5</formula>
    </cfRule>
    <cfRule type="cellIs" dxfId="52" priority="74" operator="greaterThan">
      <formula>0</formula>
    </cfRule>
  </conditionalFormatting>
  <conditionalFormatting sqref="T11">
    <cfRule type="cellIs" dxfId="51" priority="69" operator="lessThan">
      <formula>0.5</formula>
    </cfRule>
    <cfRule type="cellIs" dxfId="50" priority="70" operator="greaterThan">
      <formula>0</formula>
    </cfRule>
  </conditionalFormatting>
  <conditionalFormatting sqref="T20">
    <cfRule type="cellIs" dxfId="49" priority="65" operator="lessThan">
      <formula>0.5</formula>
    </cfRule>
    <cfRule type="cellIs" dxfId="48" priority="66" operator="greaterThan">
      <formula>0</formula>
    </cfRule>
  </conditionalFormatting>
  <conditionalFormatting sqref="T21">
    <cfRule type="cellIs" dxfId="47" priority="63" operator="lessThan">
      <formula>0.5</formula>
    </cfRule>
    <cfRule type="cellIs" dxfId="46" priority="64" operator="greaterThan">
      <formula>0</formula>
    </cfRule>
  </conditionalFormatting>
  <conditionalFormatting sqref="T22">
    <cfRule type="cellIs" dxfId="45" priority="61" operator="lessThan">
      <formula>0.5</formula>
    </cfRule>
    <cfRule type="cellIs" dxfId="44" priority="62" operator="greaterThan">
      <formula>0</formula>
    </cfRule>
  </conditionalFormatting>
  <conditionalFormatting sqref="T23">
    <cfRule type="cellIs" dxfId="43" priority="59" operator="lessThan">
      <formula>0.5</formula>
    </cfRule>
    <cfRule type="cellIs" dxfId="42" priority="60" operator="greaterThan">
      <formula>0</formula>
    </cfRule>
  </conditionalFormatting>
  <conditionalFormatting sqref="T24">
    <cfRule type="cellIs" dxfId="41" priority="53" operator="lessThan">
      <formula>0.5</formula>
    </cfRule>
    <cfRule type="cellIs" dxfId="40" priority="54" operator="greaterThan">
      <formula>0</formula>
    </cfRule>
  </conditionalFormatting>
  <conditionalFormatting sqref="T29">
    <cfRule type="cellIs" dxfId="39" priority="41" operator="lessThan">
      <formula>0.5</formula>
    </cfRule>
    <cfRule type="cellIs" dxfId="38" priority="42" operator="greaterThan">
      <formula>0</formula>
    </cfRule>
  </conditionalFormatting>
  <conditionalFormatting sqref="T31">
    <cfRule type="cellIs" dxfId="37" priority="39" operator="lessThan">
      <formula>0.5</formula>
    </cfRule>
    <cfRule type="cellIs" dxfId="36" priority="40" operator="greaterThan">
      <formula>0</formula>
    </cfRule>
  </conditionalFormatting>
  <conditionalFormatting sqref="T8">
    <cfRule type="cellIs" dxfId="35" priority="37" operator="lessThan">
      <formula>0.5</formula>
    </cfRule>
    <cfRule type="cellIs" dxfId="34" priority="38" operator="greaterThan">
      <formula>0</formula>
    </cfRule>
  </conditionalFormatting>
  <conditionalFormatting sqref="T7">
    <cfRule type="cellIs" dxfId="33" priority="33" operator="lessThan">
      <formula>0.5</formula>
    </cfRule>
    <cfRule type="cellIs" dxfId="32" priority="34" operator="greaterThan">
      <formula>0</formula>
    </cfRule>
  </conditionalFormatting>
  <conditionalFormatting sqref="T9">
    <cfRule type="cellIs" dxfId="31" priority="31" operator="lessThan">
      <formula>0.5</formula>
    </cfRule>
    <cfRule type="cellIs" dxfId="30" priority="32" operator="greaterThan">
      <formula>0</formula>
    </cfRule>
  </conditionalFormatting>
  <conditionalFormatting sqref="T12">
    <cfRule type="cellIs" dxfId="29" priority="29" operator="lessThan">
      <formula>0.5</formula>
    </cfRule>
    <cfRule type="cellIs" dxfId="28" priority="30" operator="greaterThan">
      <formula>0</formula>
    </cfRule>
  </conditionalFormatting>
  <conditionalFormatting sqref="T13">
    <cfRule type="cellIs" dxfId="27" priority="27" operator="lessThan">
      <formula>0.5</formula>
    </cfRule>
    <cfRule type="cellIs" dxfId="26" priority="28" operator="greaterThan">
      <formula>0</formula>
    </cfRule>
  </conditionalFormatting>
  <conditionalFormatting sqref="T16">
    <cfRule type="cellIs" dxfId="25" priority="25" operator="lessThan">
      <formula>0.5</formula>
    </cfRule>
    <cfRule type="cellIs" dxfId="24" priority="26" operator="greaterThan">
      <formula>0</formula>
    </cfRule>
  </conditionalFormatting>
  <conditionalFormatting sqref="T17">
    <cfRule type="cellIs" dxfId="23" priority="23" operator="lessThan">
      <formula>0.5</formula>
    </cfRule>
    <cfRule type="cellIs" dxfId="22" priority="24" operator="greaterThan">
      <formula>0</formula>
    </cfRule>
  </conditionalFormatting>
  <conditionalFormatting sqref="T6">
    <cfRule type="cellIs" dxfId="21" priority="21" operator="lessThan">
      <formula>0.5</formula>
    </cfRule>
    <cfRule type="cellIs" dxfId="20" priority="22" operator="greaterThan">
      <formula>0</formula>
    </cfRule>
  </conditionalFormatting>
  <conditionalFormatting sqref="T10">
    <cfRule type="cellIs" dxfId="19" priority="19" operator="lessThan">
      <formula>0.5</formula>
    </cfRule>
    <cfRule type="cellIs" dxfId="18" priority="20" operator="greaterThan">
      <formula>0</formula>
    </cfRule>
  </conditionalFormatting>
  <conditionalFormatting sqref="T30">
    <cfRule type="cellIs" dxfId="17" priority="17" operator="lessThan">
      <formula>0.5</formula>
    </cfRule>
    <cfRule type="cellIs" dxfId="16" priority="18" operator="greaterThan">
      <formula>0</formula>
    </cfRule>
  </conditionalFormatting>
  <conditionalFormatting sqref="T27">
    <cfRule type="cellIs" dxfId="15" priority="15" operator="lessThan">
      <formula>0.5</formula>
    </cfRule>
    <cfRule type="cellIs" dxfId="14" priority="16" operator="greaterThan">
      <formula>0</formula>
    </cfRule>
  </conditionalFormatting>
  <conditionalFormatting sqref="T28">
    <cfRule type="cellIs" dxfId="13" priority="13" operator="lessThan">
      <formula>0.5</formula>
    </cfRule>
    <cfRule type="cellIs" dxfId="12" priority="14" operator="greaterThan">
      <formula>0</formula>
    </cfRule>
  </conditionalFormatting>
  <conditionalFormatting sqref="T25">
    <cfRule type="cellIs" dxfId="11" priority="11" operator="lessThan">
      <formula>0.5</formula>
    </cfRule>
    <cfRule type="cellIs" dxfId="10" priority="12" operator="greaterThan">
      <formula>0</formula>
    </cfRule>
  </conditionalFormatting>
  <conditionalFormatting sqref="T26">
    <cfRule type="cellIs" dxfId="9" priority="9" operator="lessThan">
      <formula>0.5</formula>
    </cfRule>
    <cfRule type="cellIs" dxfId="8" priority="10" operator="greaterThan">
      <formula>0</formula>
    </cfRule>
  </conditionalFormatting>
  <conditionalFormatting sqref="T15">
    <cfRule type="cellIs" dxfId="7" priority="7" operator="lessThan">
      <formula>0.5</formula>
    </cfRule>
    <cfRule type="cellIs" dxfId="6" priority="8" operator="greaterThan">
      <formula>0</formula>
    </cfRule>
  </conditionalFormatting>
  <conditionalFormatting sqref="T19">
    <cfRule type="cellIs" dxfId="5" priority="5" operator="lessThan">
      <formula>0.5</formula>
    </cfRule>
    <cfRule type="cellIs" dxfId="4" priority="6" operator="greaterThan">
      <formula>0</formula>
    </cfRule>
  </conditionalFormatting>
  <conditionalFormatting sqref="T14">
    <cfRule type="cellIs" dxfId="3" priority="3" operator="lessThan">
      <formula>0.5</formula>
    </cfRule>
    <cfRule type="cellIs" dxfId="2" priority="4" operator="greaterThan">
      <formula>0</formula>
    </cfRule>
  </conditionalFormatting>
  <conditionalFormatting sqref="T18">
    <cfRule type="cellIs" dxfId="1" priority="1" operator="lessThan">
      <formula>0.5</formula>
    </cfRule>
    <cfRule type="cellIs" dxfId="0" priority="2" operator="greaterThan">
      <formula>0</formula>
    </cfRule>
  </conditionalFormatting>
  <dataValidations count="2">
    <dataValidation type="whole" allowBlank="1" showInputMessage="1" showErrorMessage="1" errorTitle="输入值无效" error="请输入0-499的整数" sqref="I22:I31 M2:M21 D2:E31">
      <formula1>0</formula1>
      <formula2>499</formula2>
    </dataValidation>
    <dataValidation type="whole" allowBlank="1" showInputMessage="1" showErrorMessage="1" errorTitle="输入值无效" error="请输入1-100的整数" sqref="F2:G31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3" r:id="rId4" name="Button 41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180975</xdr:colOff>
                    <xdr:row>0</xdr:row>
                    <xdr:rowOff>76200</xdr:rowOff>
                  </from>
                  <to>
                    <xdr:col>10</xdr:col>
                    <xdr:colOff>1343025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5" name="Button 42">
              <controlPr defaultSize="0" print="0" autoFill="0" autoPict="0" macro="[0]!CreateGUICsv">
                <anchor moveWithCells="1" sizeWithCells="1">
                  <from>
                    <xdr:col>10</xdr:col>
                    <xdr:colOff>1524000</xdr:colOff>
                    <xdr:row>0</xdr:row>
                    <xdr:rowOff>66675</xdr:rowOff>
                  </from>
                  <to>
                    <xdr:col>10</xdr:col>
                    <xdr:colOff>3152775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AllNoChange!$G$2</xm:f>
          </x14:formula1>
          <xm:sqref>C8 P20 H20:I20 K21:K22 N21:Q21 J22 H8:K8 O10:Q10 M29:O29 N8:O8 P11:Q11 J16:J17 N11 J2:J7 O16:Q17 J30:K31 H2:H7 O2:Q7 N9 P8:Q9 J9:K9 J10 H10 N27:O28 J23:K26 O22:Q26 C18:C20 C22:C26 H21:H31 O30:Q31 C30:C31 O12:Q13 J12:J13 N18:Q19 N14:Q15 C14:C15 H14:K15 H12:H13 H18:K19 H16:H17</xm:sqref>
        </x14:dataValidation>
        <x14:dataValidation type="list" allowBlank="1" showInputMessage="1" showErrorMessage="1">
          <x14:formula1>
            <xm:f>AllNoChange!$C$2:$C$5</xm:f>
          </x14:formula1>
          <xm:sqref>J21 J11</xm:sqref>
        </x14:dataValidation>
        <x14:dataValidation type="list" allowBlank="1" showInputMessage="1" showErrorMessage="1">
          <x14:formula1>
            <xm:f>AllNoChange!$B$2:$B$5</xm:f>
          </x14:formula1>
          <xm:sqref>I21 I11</xm:sqref>
        </x14:dataValidation>
        <x14:dataValidation type="list" allowBlank="1" showInputMessage="1" showErrorMessage="1">
          <x14:formula1>
            <xm:f>AllNoChange!$G$6:$G$8</xm:f>
          </x14:formula1>
          <xm:sqref>P27:P29</xm:sqref>
        </x14:dataValidation>
        <x14:dataValidation type="list" allowBlank="1" showInputMessage="1" showErrorMessage="1">
          <x14:formula1>
            <xm:f>AllNoChange!$F$6:$F$7</xm:f>
          </x14:formula1>
          <xm:sqref>K27:K29</xm:sqref>
        </x14:dataValidation>
        <x14:dataValidation type="list" errorStyle="warning" allowBlank="1" showInputMessage="1" showErrorMessage="1" error="默认为NULL">
          <x14:formula1>
            <xm:f>AllNoChange!$G$2</xm:f>
          </x14:formula1>
          <xm:sqref>Q27:Q29</xm:sqref>
        </x14:dataValidation>
        <x14:dataValidation type="list" allowBlank="1" showInputMessage="1" showErrorMessage="1">
          <x14:formula1>
            <xm:f>AllNoChange!$A$2:$A$18</xm:f>
          </x14:formula1>
          <xm:sqref>B11 B8:B9 B18:B26 B29:B31 B14:B15</xm:sqref>
        </x14:dataValidation>
        <x14:dataValidation type="list" allowBlank="1" showInputMessage="1" showErrorMessage="1">
          <x14:formula1>
            <xm:f>AllNoChange!$A$2:$A$16</xm:f>
          </x14:formula1>
          <xm:sqref>B10 B2:B7 B12:B13 B16:B17</xm:sqref>
        </x14:dataValidation>
        <x14:dataValidation type="list" errorStyle="warning" allowBlank="1" showInputMessage="1" showErrorMessage="1" errorTitle="默认为NULL">
          <x14:formula1>
            <xm:f>AllNoChange!$B$6</xm:f>
          </x14:formula1>
          <xm:sqref>N10 N2:N7 N12:N13 N16:N17</xm:sqref>
        </x14:dataValidation>
        <x14:dataValidation type="list" errorStyle="warning" allowBlank="1" showInputMessage="1" showErrorMessage="1">
          <x14:formula1>
            <xm:f>AllNoChange!$G$2</xm:f>
          </x14:formula1>
          <xm:sqref>K11 M27:M28</xm:sqref>
        </x14:dataValidation>
        <x14:dataValidation type="list" errorStyle="warning" allowBlank="1" showInputMessage="1" showErrorMessage="1">
          <x14:formula1>
            <xm:f>AllNoChange!$B$6</xm:f>
          </x14:formula1>
          <xm:sqref>K12:K13 K16:K17</xm:sqref>
        </x14:dataValidation>
        <x14:dataValidation type="list" allowBlank="1" showInputMessage="1" showErrorMessage="1">
          <x14:formula1>
            <xm:f>AllNoChange!$A$2:$A$22</xm:f>
          </x14:formula1>
          <xm:sqref>B27:B28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BASEGUI</vt:lpstr>
      <vt:lpstr>AllNoChange</vt:lpstr>
      <vt:lpstr>FatigueAdvanceGui</vt:lpstr>
      <vt:lpstr>StudyGUI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Yujie Li</dc:creator>
  <cp:lastModifiedBy>Yujie Li</cp:lastModifiedBy>
  <dcterms:created xsi:type="dcterms:W3CDTF">2017-07-16T14:54:00Z</dcterms:created>
  <dcterms:modified xsi:type="dcterms:W3CDTF">2018-07-09T12:43:23Z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